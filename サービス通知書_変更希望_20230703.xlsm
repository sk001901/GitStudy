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itomi.nakamura\Desktop\個人作業用\インボイス\最終確認用フォルダ\"/>
    </mc:Choice>
  </mc:AlternateContent>
  <xr:revisionPtr revIDLastSave="0" documentId="13_ncr:1_{9C22FEF0-123D-457E-94CA-289D88E5A6B6}" xr6:coauthVersionLast="47" xr6:coauthVersionMax="47" xr10:uidLastSave="{00000000-0000-0000-0000-000000000000}"/>
  <bookViews>
    <workbookView xWindow="28680" yWindow="-7380" windowWidth="29040" windowHeight="15720" activeTab="3" xr2:uid="{C2C75C1D-9D05-4479-B103-9EC3879CC567}"/>
  </bookViews>
  <sheets>
    <sheet name="SF_Data" sheetId="5" r:id="rId1"/>
    <sheet name="カナ" sheetId="8" r:id="rId2"/>
    <sheet name="マクロ" sheetId="9" r:id="rId3"/>
    <sheet name="MA" sheetId="6" r:id="rId4"/>
    <sheet name="DHN" sheetId="10" r:id="rId5"/>
    <sheet name="RA" sheetId="11" r:id="rId6"/>
    <sheet name="MAOEM" sheetId="12" r:id="rId7"/>
    <sheet name="RAOEM" sheetId="13" r:id="rId8"/>
  </sheets>
  <functionGroups builtInGroupCount="19"/>
  <definedNames>
    <definedName name="ExternalData_1" localSheetId="0" hidden="1">SF_Data!$A$1:$AA$11</definedName>
    <definedName name="_xlnm.Print_Area" localSheetId="4">DHN!$A$1:$AH$102</definedName>
    <definedName name="_xlnm.Print_Area" localSheetId="3">MA!$A$1:$AH$124</definedName>
    <definedName name="_xlnm.Print_Area" localSheetId="6">MAOEM!$A:$AH</definedName>
    <definedName name="_xlnm.Print_Area" localSheetId="5">RA!$A:$AH</definedName>
    <definedName name="_xlnm.Print_Area" localSheetId="7">RAOEM!$A:$AH</definedName>
    <definedName name="_xlnm.Print_Area" localSheetId="0">SF_Data!$A$1:$AA$77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79" i="6" l="1"/>
  <c r="T87" i="6" l="1"/>
  <c r="T83" i="6"/>
  <c r="T81" i="6"/>
  <c r="B92" i="6"/>
  <c r="C23" i="6"/>
  <c r="R13" i="6"/>
  <c r="R12" i="6"/>
  <c r="K64" i="11"/>
  <c r="K63" i="11"/>
  <c r="K62" i="11"/>
  <c r="K56" i="11"/>
  <c r="K55" i="11"/>
  <c r="K54" i="11"/>
  <c r="B56" i="11"/>
  <c r="B55" i="11"/>
  <c r="B54" i="11"/>
  <c r="D53" i="11"/>
  <c r="K51" i="11"/>
  <c r="K42" i="11"/>
  <c r="AA36" i="11"/>
  <c r="X36" i="11"/>
  <c r="U36" i="11"/>
  <c r="S36" i="11"/>
  <c r="R36" i="11"/>
  <c r="P36" i="11"/>
  <c r="N36" i="11"/>
  <c r="K36" i="11"/>
  <c r="AA33" i="11"/>
  <c r="X33" i="11"/>
  <c r="U33" i="11"/>
  <c r="S33" i="11"/>
  <c r="R33" i="11"/>
  <c r="P33" i="11"/>
  <c r="N33" i="11"/>
  <c r="K33" i="11"/>
  <c r="S30" i="11"/>
  <c r="K30" i="11"/>
  <c r="K28" i="11"/>
  <c r="K27" i="11"/>
  <c r="K26" i="11"/>
  <c r="K25" i="11"/>
  <c r="AJ15" i="11"/>
  <c r="D10" i="11"/>
  <c r="D9" i="11"/>
  <c r="D7" i="11"/>
  <c r="D5" i="11"/>
  <c r="D3" i="11"/>
  <c r="W2" i="11"/>
  <c r="H101" i="6"/>
  <c r="H100" i="6"/>
  <c r="H99" i="6"/>
  <c r="Q87" i="6"/>
  <c r="Z87" i="6" s="1"/>
  <c r="Q83" i="6"/>
  <c r="Z83" i="6" s="1"/>
  <c r="Q81" i="6"/>
  <c r="Z81" i="6" s="1"/>
  <c r="Q79" i="6"/>
  <c r="K63" i="6"/>
  <c r="K62" i="6"/>
  <c r="K61" i="6"/>
  <c r="K56" i="6"/>
  <c r="K55" i="6"/>
  <c r="K54" i="6"/>
  <c r="B56" i="6"/>
  <c r="B55" i="6"/>
  <c r="B54" i="6"/>
  <c r="D53" i="6"/>
  <c r="K51" i="6"/>
  <c r="K42" i="6"/>
  <c r="AA36" i="6"/>
  <c r="X36" i="6"/>
  <c r="U36" i="6"/>
  <c r="S36" i="6"/>
  <c r="R36" i="6"/>
  <c r="P36" i="6"/>
  <c r="N36" i="6"/>
  <c r="K36" i="6"/>
  <c r="AA33" i="6"/>
  <c r="X33" i="6"/>
  <c r="U33" i="6"/>
  <c r="S33" i="6"/>
  <c r="R33" i="6"/>
  <c r="P33" i="6"/>
  <c r="N33" i="6"/>
  <c r="K33" i="6"/>
  <c r="S30" i="6"/>
  <c r="K30" i="6"/>
  <c r="K28" i="6"/>
  <c r="K27" i="6"/>
  <c r="K26" i="6"/>
  <c r="K25" i="6"/>
  <c r="A16" i="6"/>
  <c r="AJ15" i="6"/>
  <c r="R11" i="6"/>
  <c r="R9" i="6"/>
  <c r="C13" i="6"/>
  <c r="D10" i="6"/>
  <c r="D9" i="6"/>
  <c r="D7" i="6"/>
  <c r="D5" i="6"/>
  <c r="D3" i="6"/>
  <c r="W2" i="6"/>
  <c r="H86" i="13"/>
  <c r="K64" i="13"/>
  <c r="K63" i="13"/>
  <c r="K62" i="13"/>
  <c r="K56" i="13"/>
  <c r="K55" i="13"/>
  <c r="K54" i="13"/>
  <c r="B56" i="13"/>
  <c r="B55" i="13"/>
  <c r="B54" i="13"/>
  <c r="D53" i="13"/>
  <c r="K51" i="13"/>
  <c r="K42" i="13"/>
  <c r="AA36" i="13"/>
  <c r="X36" i="13"/>
  <c r="U36" i="13"/>
  <c r="S36" i="13"/>
  <c r="R36" i="13"/>
  <c r="P36" i="13"/>
  <c r="N36" i="13"/>
  <c r="K36" i="13"/>
  <c r="AA33" i="13"/>
  <c r="X33" i="13"/>
  <c r="U33" i="13"/>
  <c r="S33" i="13"/>
  <c r="R33" i="13"/>
  <c r="P33" i="13"/>
  <c r="N33" i="13"/>
  <c r="K33" i="13"/>
  <c r="S30" i="13"/>
  <c r="K30" i="13"/>
  <c r="K28" i="13"/>
  <c r="K27" i="13"/>
  <c r="K26" i="13"/>
  <c r="K25" i="13"/>
  <c r="A16" i="13"/>
  <c r="AJ15" i="13"/>
  <c r="R14" i="13"/>
  <c r="C13" i="13"/>
  <c r="R9" i="13"/>
  <c r="D10" i="13"/>
  <c r="D9" i="13"/>
  <c r="D7" i="13"/>
  <c r="D5" i="13"/>
  <c r="D3" i="13"/>
  <c r="W2" i="13"/>
  <c r="H85" i="10"/>
  <c r="H84" i="10"/>
  <c r="K64" i="10"/>
  <c r="K63" i="10"/>
  <c r="K62" i="10"/>
  <c r="K56" i="10"/>
  <c r="K55" i="10"/>
  <c r="K54" i="10"/>
  <c r="B56" i="10"/>
  <c r="B55" i="10"/>
  <c r="B54" i="10"/>
  <c r="D53" i="10"/>
  <c r="K42" i="10"/>
  <c r="AA36" i="10"/>
  <c r="X36" i="10"/>
  <c r="U36" i="10"/>
  <c r="S36" i="10"/>
  <c r="R36" i="10"/>
  <c r="P36" i="10"/>
  <c r="N36" i="10"/>
  <c r="K36" i="10"/>
  <c r="AA33" i="10"/>
  <c r="X33" i="10"/>
  <c r="U33" i="10"/>
  <c r="S33" i="10"/>
  <c r="R33" i="10"/>
  <c r="P33" i="10"/>
  <c r="N33" i="10"/>
  <c r="K33" i="10"/>
  <c r="S30" i="10"/>
  <c r="K30" i="10"/>
  <c r="K28" i="10"/>
  <c r="K27" i="10"/>
  <c r="K26" i="10"/>
  <c r="K25" i="10"/>
  <c r="AJ15" i="10"/>
  <c r="R13" i="10"/>
  <c r="R11" i="10"/>
  <c r="D10" i="10"/>
  <c r="D9" i="10"/>
  <c r="D7" i="10"/>
  <c r="D5" i="10"/>
  <c r="D3" i="10"/>
  <c r="W2" i="10"/>
  <c r="K56" i="12"/>
  <c r="K55" i="12"/>
  <c r="K54" i="12"/>
  <c r="B56" i="12"/>
  <c r="B55" i="12"/>
  <c r="B54" i="12"/>
  <c r="D53" i="12"/>
  <c r="H86" i="12" l="1"/>
  <c r="H85" i="12"/>
  <c r="H84" i="12"/>
  <c r="K64" i="12"/>
  <c r="K63" i="12"/>
  <c r="K62" i="12"/>
  <c r="K51" i="12"/>
  <c r="K42" i="12"/>
  <c r="AA36" i="12"/>
  <c r="X36" i="12"/>
  <c r="U36" i="12"/>
  <c r="S36" i="12"/>
  <c r="R36" i="12"/>
  <c r="P36" i="12"/>
  <c r="N36" i="12"/>
  <c r="K36" i="12"/>
  <c r="AA33" i="12"/>
  <c r="X33" i="12"/>
  <c r="U33" i="12"/>
  <c r="S33" i="12"/>
  <c r="R33" i="12"/>
  <c r="P33" i="12"/>
  <c r="N33" i="12"/>
  <c r="K33" i="12"/>
  <c r="S30" i="12"/>
  <c r="K30" i="12"/>
  <c r="K28" i="12"/>
  <c r="K27" i="12"/>
  <c r="K26" i="12"/>
  <c r="K25" i="12"/>
  <c r="A16" i="12"/>
  <c r="AJ15" i="12"/>
  <c r="R14" i="12"/>
  <c r="C13" i="12"/>
  <c r="R13" i="12"/>
  <c r="R11" i="12"/>
  <c r="R9" i="12"/>
  <c r="D10" i="12"/>
  <c r="D9" i="12"/>
  <c r="D7" i="12"/>
  <c r="D5" i="12"/>
  <c r="D3" i="12"/>
  <c r="W2" i="12"/>
  <c r="AA34" i="13" l="1"/>
  <c r="X34" i="13"/>
  <c r="U34" i="13"/>
  <c r="S34" i="13"/>
  <c r="R34" i="13"/>
  <c r="P34" i="13"/>
  <c r="N34" i="13"/>
  <c r="K34" i="13"/>
  <c r="AA31" i="13"/>
  <c r="X31" i="13"/>
  <c r="U31" i="13"/>
  <c r="S31" i="13"/>
  <c r="R31" i="13"/>
  <c r="P31" i="13"/>
  <c r="N31" i="13"/>
  <c r="K31" i="13"/>
  <c r="X34" i="12" l="1"/>
  <c r="U34" i="12"/>
  <c r="S34" i="12"/>
  <c r="P34" i="12"/>
  <c r="N34" i="12"/>
  <c r="K34" i="12"/>
  <c r="AA34" i="12"/>
  <c r="R34" i="12"/>
  <c r="AA31" i="12"/>
  <c r="X31" i="12"/>
  <c r="U31" i="12"/>
  <c r="S31" i="12"/>
  <c r="R31" i="12"/>
  <c r="P31" i="12"/>
  <c r="N31" i="12"/>
  <c r="K31" i="12"/>
  <c r="AA34" i="11"/>
  <c r="X34" i="11"/>
  <c r="U34" i="11"/>
  <c r="S34" i="11"/>
  <c r="R34" i="11"/>
  <c r="P34" i="11"/>
  <c r="N34" i="11"/>
  <c r="K34" i="11"/>
  <c r="AA31" i="11"/>
  <c r="X31" i="11"/>
  <c r="U31" i="11"/>
  <c r="S31" i="11"/>
  <c r="R31" i="11"/>
  <c r="P31" i="11"/>
  <c r="N31" i="11"/>
  <c r="K31" i="11"/>
  <c r="AA34" i="10"/>
  <c r="X34" i="10"/>
  <c r="U34" i="10"/>
  <c r="S34" i="10"/>
  <c r="R34" i="10"/>
  <c r="P34" i="10"/>
  <c r="N34" i="10"/>
  <c r="K34" i="10"/>
  <c r="AA31" i="10"/>
  <c r="X31" i="10"/>
  <c r="U31" i="10"/>
  <c r="S31" i="10"/>
  <c r="R31" i="10"/>
  <c r="P31" i="10"/>
  <c r="N31" i="10"/>
  <c r="K31" i="10"/>
  <c r="R34" i="6"/>
  <c r="R31" i="6"/>
  <c r="AA34" i="6"/>
  <c r="X34" i="6"/>
  <c r="U34" i="6"/>
  <c r="S34" i="6"/>
  <c r="P34" i="6"/>
  <c r="N34" i="6"/>
  <c r="K34" i="6"/>
  <c r="AA31" i="6"/>
  <c r="X31" i="6"/>
  <c r="U31" i="6"/>
  <c r="S31" i="6"/>
  <c r="P31" i="6"/>
  <c r="N31" i="6"/>
  <c r="K31"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クエリ - SF_GIGA利用通知Data" description="ブック内の 'SF_GIGA利用通知Data' クエリへの接続です。" type="5" refreshedVersion="8" background="1" saveData="1">
    <dbPr connection="Provider=Microsoft.Mashup.OleDb.1;Data Source=$Workbook$;Location=SF_GIGA利用通知Data;Extended Properties=&quot;&quot;" command="SELECT * FROM [SF_GIGA利用通知Data]"/>
  </connection>
</connections>
</file>

<file path=xl/sharedStrings.xml><?xml version="1.0" encoding="utf-8"?>
<sst xmlns="http://schemas.openxmlformats.org/spreadsheetml/2006/main" count="550" uniqueCount="295">
  <si>
    <t>企業名/氏名</t>
  </si>
  <si>
    <t>電話番号</t>
  </si>
  <si>
    <t>個人企業/オーナー/顧客: 電話番号2</t>
  </si>
  <si>
    <t>個人企業/オーナー/顧客: メール</t>
  </si>
  <si>
    <t>サービス種別</t>
  </si>
  <si>
    <t>サービス名(通知用)</t>
  </si>
  <si>
    <t>ドメイン</t>
  </si>
  <si>
    <t>ユーザーID</t>
  </si>
  <si>
    <t>PW</t>
  </si>
  <si>
    <t>登録受付日</t>
  </si>
  <si>
    <t>部屋の物件名</t>
  </si>
  <si>
    <t>郵便番号</t>
  </si>
  <si>
    <t>部屋の住所</t>
  </si>
  <si>
    <t>号室</t>
  </si>
  <si>
    <t>入居者用Webサイト</t>
  </si>
  <si>
    <t>方式</t>
  </si>
  <si>
    <t>宅内最大速度</t>
  </si>
  <si>
    <t>保証金（非課税）.amount</t>
  </si>
  <si>
    <t>年払費用（10%税込）.amount</t>
  </si>
  <si>
    <t>備考(利用通知)</t>
  </si>
  <si>
    <t>お客様番号</t>
  </si>
  <si>
    <t>サービス名</t>
  </si>
  <si>
    <t>物件名</t>
  </si>
  <si>
    <t>この度は、弊社サービスにお申込みをいただき、誠にありがとうございます。</t>
  </si>
  <si>
    <t>ご登録内容をお知らせいたしますので、必ずお読みいただき十分にご確認のうえご利用ください。</t>
  </si>
  <si>
    <t>※　本書には個人を特定する重要な情報が記載されていますので、大切に保管してください。</t>
  </si>
  <si>
    <t>※　本サービスのご利用はマンション入居者に限ります。ご退去時は解約のお手続きをお願いいたします。</t>
  </si>
  <si>
    <t>お名前</t>
  </si>
  <si>
    <t>部屋番号</t>
  </si>
  <si>
    <t>住所</t>
  </si>
  <si>
    <t>ご連絡先</t>
  </si>
  <si>
    <t>電話番号</t>
    <phoneticPr fontId="10"/>
  </si>
  <si>
    <t>電話番号２</t>
    <rPh sb="0" eb="2">
      <t>デンワ</t>
    </rPh>
    <rPh sb="2" eb="4">
      <t>バンゴウ</t>
    </rPh>
    <phoneticPr fontId="10"/>
  </si>
  <si>
    <t>ユーザーＩＤ</t>
  </si>
  <si>
    <t>e</t>
    <phoneticPr fontId="10"/>
  </si>
  <si>
    <t>s</t>
    <phoneticPr fontId="10"/>
  </si>
  <si>
    <t>t</t>
    <phoneticPr fontId="10"/>
  </si>
  <si>
    <t>i</t>
    <phoneticPr fontId="10"/>
  </si>
  <si>
    <t>d</t>
    <phoneticPr fontId="10"/>
  </si>
  <si>
    <t>ｴｯｸｽ</t>
  </si>
  <si>
    <r>
      <t xml:space="preserve">パスワード
</t>
    </r>
    <r>
      <rPr>
        <b/>
        <sz val="7"/>
        <color indexed="8"/>
        <rFont val="BIZ UDPゴシック"/>
        <family val="3"/>
        <charset val="128"/>
      </rPr>
      <t>（大文字・小文字の区別にご注意ください）</t>
    </r>
  </si>
  <si>
    <t>X</t>
    <phoneticPr fontId="10"/>
  </si>
  <si>
    <t>メールサービスのご利用設定項目</t>
  </si>
  <si>
    <t>メールアドレス</t>
  </si>
  <si>
    <t>アカウント名（ログオンユーザー名）</t>
  </si>
  <si>
    <t>（メールアドレスと同じ）</t>
  </si>
  <si>
    <t>送信サーバー(SMTP)</t>
  </si>
  <si>
    <t>認証方式</t>
  </si>
  <si>
    <t>接続方式</t>
  </si>
  <si>
    <t>最大通信速度</t>
  </si>
  <si>
    <t xml:space="preserve">  ・　本サービスはベストエフォート型サービスとなっております。実際の通信速度はお客様ご利用のパソコン環境や設定状況、サイトまでの経路</t>
  </si>
  <si>
    <t xml:space="preserve">      の混雑状況により異なります。</t>
  </si>
  <si>
    <t xml:space="preserve">  ・　サービスの提供の制限について、本サービス全体もしくは他の利用者に支障を及ぼす恐れのある行為があった場合（一部のお客様が通信</t>
  </si>
  <si>
    <t>　　  設備の大部分を利用する場合等）、該当のお客様に是正措置を求め、または本サービスの提供を一時的に停止もしくは中断する場合があり</t>
  </si>
  <si>
    <t xml:space="preserve">      ます。　</t>
  </si>
  <si>
    <t>サービス提供開始予定について</t>
  </si>
  <si>
    <t>サービス提供開始予定時期</t>
  </si>
  <si>
    <t>けます。インターネット工事が必要なお部屋に関しては、工事完了</t>
  </si>
  <si>
    <t>次第ご利用いただけます。</t>
  </si>
  <si>
    <t xml:space="preserve">インターネット接続料金について </t>
  </si>
  <si>
    <t>アダプター保証代金</t>
  </si>
  <si>
    <t>年払一括銀行振込プラン</t>
  </si>
  <si>
    <t xml:space="preserve">ご利用料金
</t>
  </si>
  <si>
    <t>月払銀行引落プラン</t>
  </si>
  <si>
    <t>（月額料金）</t>
  </si>
  <si>
    <t>契約内容変更・解約の条件等</t>
  </si>
  <si>
    <t>連絡先</t>
  </si>
  <si>
    <t>インターネットカスタマーサポートセンター</t>
    <phoneticPr fontId="10"/>
  </si>
  <si>
    <t>〒150-0044　東京都渋谷区円山町3-6 E・スペースタワー7F</t>
  </si>
  <si>
    <t>　・　解約の場合は、解約する月の23日までに所定の書面にて届けるものとします。</t>
  </si>
  <si>
    <t>初期契約解除制度の案内</t>
  </si>
  <si>
    <t xml:space="preserve">  １.　本書面をお客様が受領した日から起算して８日を経過するまでの間、書面により本契約の解除を行うことができます。この効力は書面を</t>
  </si>
  <si>
    <t>　３． 事業者が初期契約解除制度について不実のことを告げたことにより、お客様が告げられた内容が事実であるとの誤認をし、これによって</t>
  </si>
  <si>
    <t>　     ８日間を経過するまでに契約を解除しなかった場合、本契約の解除を行うことができる旨を記載し、交付した書面を受領した日から起算</t>
  </si>
  <si>
    <t>初回2ヶ月分月払費用（10%税込）.amount</t>
  </si>
  <si>
    <t>月払引落費用（10%税込）.amount</t>
  </si>
  <si>
    <t>元</t>
    <rPh sb="0" eb="1">
      <t>モト</t>
    </rPh>
    <phoneticPr fontId="10"/>
  </si>
  <si>
    <t>カナ</t>
    <phoneticPr fontId="10"/>
  </si>
  <si>
    <t>a</t>
    <phoneticPr fontId="10"/>
  </si>
  <si>
    <t>b</t>
    <phoneticPr fontId="10"/>
  </si>
  <si>
    <t>c</t>
    <phoneticPr fontId="10"/>
  </si>
  <si>
    <t>f</t>
    <phoneticPr fontId="10"/>
  </si>
  <si>
    <t>g</t>
    <phoneticPr fontId="10"/>
  </si>
  <si>
    <t>h</t>
    <phoneticPr fontId="10"/>
  </si>
  <si>
    <t>j</t>
    <phoneticPr fontId="10"/>
  </si>
  <si>
    <t>k</t>
    <phoneticPr fontId="10"/>
  </si>
  <si>
    <t>l</t>
    <phoneticPr fontId="10"/>
  </si>
  <si>
    <t>m</t>
    <phoneticPr fontId="10"/>
  </si>
  <si>
    <t>n</t>
    <phoneticPr fontId="10"/>
  </si>
  <si>
    <t>o</t>
    <phoneticPr fontId="10"/>
  </si>
  <si>
    <t>p</t>
    <phoneticPr fontId="10"/>
  </si>
  <si>
    <t>q</t>
    <phoneticPr fontId="10"/>
  </si>
  <si>
    <t>r</t>
    <phoneticPr fontId="10"/>
  </si>
  <si>
    <t>u</t>
    <phoneticPr fontId="10"/>
  </si>
  <si>
    <t>v</t>
    <phoneticPr fontId="10"/>
  </si>
  <si>
    <t>w</t>
    <phoneticPr fontId="10"/>
  </si>
  <si>
    <t>x</t>
    <phoneticPr fontId="10"/>
  </si>
  <si>
    <t>y</t>
    <phoneticPr fontId="10"/>
  </si>
  <si>
    <t>z</t>
    <phoneticPr fontId="10"/>
  </si>
  <si>
    <t>A</t>
    <phoneticPr fontId="10"/>
  </si>
  <si>
    <t>B</t>
    <phoneticPr fontId="10"/>
  </si>
  <si>
    <t>C</t>
    <phoneticPr fontId="10"/>
  </si>
  <si>
    <t>D</t>
    <phoneticPr fontId="10"/>
  </si>
  <si>
    <t>E</t>
    <phoneticPr fontId="10"/>
  </si>
  <si>
    <t>F</t>
    <phoneticPr fontId="10"/>
  </si>
  <si>
    <t>G</t>
    <phoneticPr fontId="10"/>
  </si>
  <si>
    <t>H</t>
    <phoneticPr fontId="10"/>
  </si>
  <si>
    <t>I</t>
    <phoneticPr fontId="10"/>
  </si>
  <si>
    <t>J</t>
    <phoneticPr fontId="10"/>
  </si>
  <si>
    <t>K</t>
    <phoneticPr fontId="10"/>
  </si>
  <si>
    <t>L</t>
    <phoneticPr fontId="10"/>
  </si>
  <si>
    <t>M</t>
    <phoneticPr fontId="10"/>
  </si>
  <si>
    <t>N</t>
    <phoneticPr fontId="10"/>
  </si>
  <si>
    <t>O</t>
    <phoneticPr fontId="10"/>
  </si>
  <si>
    <t>P</t>
    <phoneticPr fontId="10"/>
  </si>
  <si>
    <t>Q</t>
    <phoneticPr fontId="10"/>
  </si>
  <si>
    <t>R</t>
    <phoneticPr fontId="10"/>
  </si>
  <si>
    <t>S</t>
    <phoneticPr fontId="10"/>
  </si>
  <si>
    <t>T</t>
    <phoneticPr fontId="10"/>
  </si>
  <si>
    <t>U</t>
    <phoneticPr fontId="10"/>
  </si>
  <si>
    <t>V</t>
    <phoneticPr fontId="10"/>
  </si>
  <si>
    <t>W</t>
    <phoneticPr fontId="10"/>
  </si>
  <si>
    <t>Y</t>
    <phoneticPr fontId="10"/>
  </si>
  <si>
    <t>Z</t>
    <phoneticPr fontId="10"/>
  </si>
  <si>
    <t>ｴｰ</t>
  </si>
  <si>
    <t>ﾋﾞｨ</t>
  </si>
  <si>
    <t>ｼｨ</t>
  </si>
  <si>
    <t>ﾃﾞｨ</t>
  </si>
  <si>
    <t>ｲｰ</t>
  </si>
  <si>
    <t>ｴﾌ</t>
  </si>
  <si>
    <t>ｼﾞｰ</t>
  </si>
  <si>
    <t>ｴｲﾁ</t>
  </si>
  <si>
    <t>ｱｲ</t>
  </si>
  <si>
    <t>ｼﾞｪｲ</t>
  </si>
  <si>
    <t>ｹｲ</t>
  </si>
  <si>
    <t>ｴﾙ</t>
  </si>
  <si>
    <t>ｴﾑ</t>
  </si>
  <si>
    <t>ｴﾇ</t>
  </si>
  <si>
    <t>ｵｰ</t>
  </si>
  <si>
    <t>ﾋﾟｰ</t>
  </si>
  <si>
    <t>ｷｭｰ</t>
  </si>
  <si>
    <t>ｱｰﾙ</t>
  </si>
  <si>
    <t>ｴｽ</t>
  </si>
  <si>
    <t>ﾃｨ</t>
  </si>
  <si>
    <t>ﾕｰ</t>
  </si>
  <si>
    <t>ﾌﾞｲ</t>
  </si>
  <si>
    <t>ﾀﾞﾌﾞﾙ</t>
  </si>
  <si>
    <t>ﾜｲ</t>
  </si>
  <si>
    <t>ｾﾞｯﾄ</t>
  </si>
  <si>
    <t>ｾﾞﾛ</t>
  </si>
  <si>
    <t>ｲﾁ</t>
    <phoneticPr fontId="10"/>
  </si>
  <si>
    <t>ﾆ</t>
  </si>
  <si>
    <t>ｻﾝ</t>
  </si>
  <si>
    <t>ﾖﾝ</t>
  </si>
  <si>
    <t>ｺﾞ</t>
  </si>
  <si>
    <t>ﾛｸ</t>
  </si>
  <si>
    <t>ﾅﾅ</t>
  </si>
  <si>
    <t>ﾊﾁ</t>
  </si>
  <si>
    <t>ｷｭｳ</t>
  </si>
  <si>
    <t>Ｗｅｂメール利用・各種設定のＵＲＬ</t>
    <phoneticPr fontId="10"/>
  </si>
  <si>
    <t>　２． この場合、お客様は損害賠償もしくは違約金その他の金銭等を請求されることはありません。また、契約に関連して弊社が金銭等を受領</t>
    <phoneticPr fontId="10"/>
  </si>
  <si>
    <t>本書、ご利用通知書がお客様のお手元に届き次第ご利用いただ</t>
    <phoneticPr fontId="10"/>
  </si>
  <si>
    <t>（初回振込金額）</t>
    <phoneticPr fontId="10"/>
  </si>
  <si>
    <t>　　　　　発した時に生じます。</t>
    <phoneticPr fontId="10"/>
  </si>
  <si>
    <t xml:space="preserve">   　　    している際には、当該金銭等をお客様へ返還いたします。</t>
    <phoneticPr fontId="10"/>
  </si>
  <si>
    <t xml:space="preserve">           して８日を経過するまでの間であれば契約を解除することができます。</t>
    <phoneticPr fontId="10"/>
  </si>
  <si>
    <t>　         【本件についてのお問合せ先・書面の送付先】　 上記&lt;契約内容変更・解約の条件等&gt;に記載しております。</t>
    <phoneticPr fontId="10"/>
  </si>
  <si>
    <t>【親展】</t>
    <phoneticPr fontId="10"/>
  </si>
  <si>
    <t>24hサポート</t>
  </si>
  <si>
    <t>0</t>
    <phoneticPr fontId="10"/>
  </si>
  <si>
    <t>1</t>
    <phoneticPr fontId="10"/>
  </si>
  <si>
    <t>2</t>
    <phoneticPr fontId="10"/>
  </si>
  <si>
    <t>3</t>
    <phoneticPr fontId="10"/>
  </si>
  <si>
    <t>4</t>
    <phoneticPr fontId="10"/>
  </si>
  <si>
    <t>5</t>
    <phoneticPr fontId="10"/>
  </si>
  <si>
    <t>6</t>
    <phoneticPr fontId="10"/>
  </si>
  <si>
    <t>7</t>
    <phoneticPr fontId="10"/>
  </si>
  <si>
    <t>8</t>
    <phoneticPr fontId="10"/>
  </si>
  <si>
    <t>9</t>
    <phoneticPr fontId="10"/>
  </si>
  <si>
    <t>お客様番号</t>
    <rPh sb="1" eb="3">
      <t>キャクサマ</t>
    </rPh>
    <rPh sb="3" eb="5">
      <t>バンゴウ</t>
    </rPh>
    <phoneticPr fontId="10"/>
  </si>
  <si>
    <t>■データの連携方法</t>
    <rPh sb="5" eb="7">
      <t>レンケイ</t>
    </rPh>
    <rPh sb="7" eb="9">
      <t>ホウホウ</t>
    </rPh>
    <phoneticPr fontId="10"/>
  </si>
  <si>
    <r>
      <rPr>
        <sz val="10"/>
        <color rgb="FF000000"/>
        <rFont val="Yu Gothic"/>
        <family val="2"/>
        <charset val="128"/>
      </rPr>
      <t>データ＞データの取得</t>
    </r>
    <r>
      <rPr>
        <sz val="10"/>
        <color indexed="8"/>
        <rFont val="ARIAL"/>
        <family val="2"/>
      </rPr>
      <t>&gt;</t>
    </r>
    <r>
      <rPr>
        <sz val="10"/>
        <color rgb="FF000000"/>
        <rFont val="Yu Gothic"/>
        <family val="2"/>
        <charset val="128"/>
      </rPr>
      <t>オンラインサービスから</t>
    </r>
    <r>
      <rPr>
        <sz val="10"/>
        <color indexed="8"/>
        <rFont val="ARIAL"/>
        <family val="2"/>
      </rPr>
      <t>&gt;Salesforce</t>
    </r>
    <r>
      <rPr>
        <sz val="10"/>
        <color rgb="FF000000"/>
        <rFont val="Yu Gothic"/>
        <family val="2"/>
        <charset val="128"/>
      </rPr>
      <t>レポートからをクリックします。</t>
    </r>
    <phoneticPr fontId="10"/>
  </si>
  <si>
    <r>
      <rPr>
        <sz val="10"/>
        <color rgb="FF000000"/>
        <rFont val="Yu Gothic"/>
        <family val="2"/>
        <charset val="128"/>
      </rPr>
      <t>データ＞クエリと更新「全て更新」をクリックし、「</t>
    </r>
    <r>
      <rPr>
        <sz val="10"/>
        <color rgb="FF000000"/>
        <rFont val="ARIAL"/>
        <family val="2"/>
      </rPr>
      <t>SF_GIGA</t>
    </r>
    <r>
      <rPr>
        <sz val="10"/>
        <color rgb="FF000000"/>
        <rFont val="Yu Gothic"/>
        <family val="2"/>
        <charset val="128"/>
      </rPr>
      <t>利用通知</t>
    </r>
    <r>
      <rPr>
        <sz val="10"/>
        <color rgb="FF000000"/>
        <rFont val="ARIAL"/>
        <family val="2"/>
      </rPr>
      <t>Data</t>
    </r>
    <r>
      <rPr>
        <sz val="10"/>
        <color rgb="FF000000"/>
        <rFont val="Yu Gothic"/>
        <family val="2"/>
        <charset val="128"/>
      </rPr>
      <t>」レポートの最新データに更新します。</t>
    </r>
    <phoneticPr fontId="10"/>
  </si>
  <si>
    <t>　※この更新は担当が行い、データが更新された事を確認してから、マクロを実行します。</t>
    <rPh sb="4" eb="6">
      <t>コウシン</t>
    </rPh>
    <rPh sb="7" eb="9">
      <t>タントウ</t>
    </rPh>
    <rPh sb="10" eb="11">
      <t>オコナ</t>
    </rPh>
    <rPh sb="17" eb="19">
      <t>コウシン</t>
    </rPh>
    <rPh sb="22" eb="23">
      <t>コト</t>
    </rPh>
    <rPh sb="24" eb="26">
      <t>カクニン</t>
    </rPh>
    <rPh sb="35" eb="37">
      <t>ジッコウ</t>
    </rPh>
    <phoneticPr fontId="10"/>
  </si>
  <si>
    <t>２）SF_Data の2行目の値を選択した利用通知にコピーします。</t>
    <rPh sb="12" eb="14">
      <t>ギョウメ</t>
    </rPh>
    <rPh sb="15" eb="16">
      <t>アタイ</t>
    </rPh>
    <rPh sb="17" eb="19">
      <t>センタク</t>
    </rPh>
    <rPh sb="21" eb="23">
      <t>リヨウ</t>
    </rPh>
    <rPh sb="23" eb="25">
      <t>ツウチ</t>
    </rPh>
    <phoneticPr fontId="10"/>
  </si>
  <si>
    <t>４）2行目が終わったら、データがある最終行まで１）～３）を繰り返した後、終了します。</t>
    <rPh sb="3" eb="4">
      <t>ギョウ</t>
    </rPh>
    <rPh sb="4" eb="5">
      <t>メ</t>
    </rPh>
    <rPh sb="6" eb="7">
      <t>オ</t>
    </rPh>
    <rPh sb="18" eb="21">
      <t>サイシュウギョウ</t>
    </rPh>
    <rPh sb="29" eb="30">
      <t>ク</t>
    </rPh>
    <rPh sb="31" eb="32">
      <t>カエ</t>
    </rPh>
    <rPh sb="34" eb="35">
      <t>アト</t>
    </rPh>
    <rPh sb="36" eb="38">
      <t>シュウリョウ</t>
    </rPh>
    <phoneticPr fontId="10"/>
  </si>
  <si>
    <r>
      <rPr>
        <sz val="10"/>
        <color rgb="FF000000"/>
        <rFont val="Yu Gothic"/>
        <family val="2"/>
        <charset val="128"/>
      </rPr>
      <t>レポート画面で、カスタムに</t>
    </r>
    <r>
      <rPr>
        <sz val="10"/>
        <color indexed="8"/>
        <rFont val="ARIAL"/>
        <family val="2"/>
      </rPr>
      <t>https://gigaprize.my.salesforce.com/</t>
    </r>
    <r>
      <rPr>
        <sz val="10"/>
        <color rgb="FF000000"/>
        <rFont val="Yu Gothic"/>
        <family val="2"/>
        <charset val="128"/>
      </rPr>
      <t>　を入力して</t>
    </r>
    <r>
      <rPr>
        <sz val="10"/>
        <color indexed="8"/>
        <rFont val="ARIAL"/>
        <family val="2"/>
      </rPr>
      <t>OK</t>
    </r>
    <r>
      <rPr>
        <sz val="10"/>
        <color rgb="FF000000"/>
        <rFont val="Yu Gothic"/>
        <family val="2"/>
        <charset val="128"/>
      </rPr>
      <t>します。</t>
    </r>
    <phoneticPr fontId="10"/>
  </si>
  <si>
    <r>
      <rPr>
        <sz val="10"/>
        <color rgb="FF000000"/>
        <rFont val="Yu Gothic"/>
        <family val="2"/>
        <charset val="128"/>
      </rPr>
      <t>次に</t>
    </r>
    <r>
      <rPr>
        <sz val="10"/>
        <color indexed="8"/>
        <rFont val="ARIAL"/>
        <family val="2"/>
      </rPr>
      <t>ID/PW</t>
    </r>
    <r>
      <rPr>
        <sz val="10"/>
        <color rgb="FF000000"/>
        <rFont val="Yu Gothic"/>
        <family val="2"/>
        <charset val="128"/>
      </rPr>
      <t>を聞かれたら、連携用</t>
    </r>
    <r>
      <rPr>
        <sz val="10"/>
        <color rgb="FF000000"/>
        <rFont val="ARIAL"/>
        <family val="2"/>
      </rPr>
      <t>ID/PW</t>
    </r>
    <r>
      <rPr>
        <sz val="10"/>
        <color rgb="FF000000"/>
        <rFont val="Yu Gothic"/>
        <family val="2"/>
        <charset val="128"/>
      </rPr>
      <t>を入力します。（別途）</t>
    </r>
    <rPh sb="14" eb="16">
      <t>レンケイ</t>
    </rPh>
    <rPh sb="16" eb="17">
      <t>ヨウ</t>
    </rPh>
    <rPh sb="30" eb="32">
      <t>ベット</t>
    </rPh>
    <phoneticPr fontId="10"/>
  </si>
  <si>
    <r>
      <t>SF</t>
    </r>
    <r>
      <rPr>
        <sz val="10"/>
        <color rgb="FF000000"/>
        <rFont val="Yu Gothic"/>
        <family val="2"/>
        <charset val="128"/>
      </rPr>
      <t>で作った「</t>
    </r>
    <r>
      <rPr>
        <sz val="10"/>
        <color indexed="8"/>
        <rFont val="ARIAL"/>
        <family val="2"/>
      </rPr>
      <t>SF_GIGA</t>
    </r>
    <r>
      <rPr>
        <sz val="10"/>
        <color rgb="FF000000"/>
        <rFont val="Yu Gothic"/>
        <family val="2"/>
        <charset val="128"/>
      </rPr>
      <t>利用通知</t>
    </r>
    <r>
      <rPr>
        <sz val="10"/>
        <color indexed="8"/>
        <rFont val="ARIAL"/>
        <family val="2"/>
      </rPr>
      <t>Data</t>
    </r>
    <r>
      <rPr>
        <sz val="10"/>
        <color rgb="FF000000"/>
        <rFont val="Yu Gothic"/>
        <family val="2"/>
        <charset val="128"/>
      </rPr>
      <t>」を検索して選び、読み込みします。</t>
    </r>
    <phoneticPr fontId="10"/>
  </si>
  <si>
    <t>（SF_Dataは、データの変換をして読込しています。）</t>
    <rPh sb="19" eb="21">
      <t>ヨミコミ</t>
    </rPh>
    <phoneticPr fontId="10"/>
  </si>
  <si>
    <t>■マクロの実行　（実行ボタンクリック後の動作）</t>
    <rPh sb="5" eb="7">
      <t>ジッコウ</t>
    </rPh>
    <rPh sb="9" eb="11">
      <t>ジッコウ</t>
    </rPh>
    <rPh sb="18" eb="19">
      <t>ゴ</t>
    </rPh>
    <rPh sb="20" eb="22">
      <t>ドウサ</t>
    </rPh>
    <phoneticPr fontId="10"/>
  </si>
  <si>
    <t>ＴＥＬ ： 0120-467-123　ＦＡＸ ： 0120-922-068</t>
    <phoneticPr fontId="10"/>
  </si>
  <si>
    <t>　　　24時間(365日)</t>
    <phoneticPr fontId="10"/>
  </si>
  <si>
    <t>TEL：0120-467-123 　FAX：0120-922-068</t>
    <phoneticPr fontId="10"/>
  </si>
  <si>
    <t>mail：support@rentagent.net</t>
    <phoneticPr fontId="10"/>
  </si>
  <si>
    <t>RentAgentネットご利用通知</t>
    <phoneticPr fontId="10"/>
  </si>
  <si>
    <t>RentAgentネット</t>
    <phoneticPr fontId="10"/>
  </si>
  <si>
    <t>mail ： support@dia-net.ne.jp</t>
    <phoneticPr fontId="10"/>
  </si>
  <si>
    <t>mail ： support@rentagent.net</t>
    <phoneticPr fontId="10"/>
  </si>
  <si>
    <t>ダイアホームネットご利用通知</t>
    <phoneticPr fontId="10"/>
  </si>
  <si>
    <t>ダイアホームネット　サービスご利用通知</t>
    <phoneticPr fontId="10"/>
  </si>
  <si>
    <t>ダイアホームネット</t>
    <phoneticPr fontId="10"/>
  </si>
  <si>
    <t>RentAgentネット　サービスご利用通知</t>
    <phoneticPr fontId="10"/>
  </si>
  <si>
    <t>MA</t>
    <phoneticPr fontId="10"/>
  </si>
  <si>
    <t>https://www.dia-net.ne.jp/</t>
    <phoneticPr fontId="10"/>
  </si>
  <si>
    <t>マンション専用ポータルサイト</t>
    <phoneticPr fontId="10"/>
  </si>
  <si>
    <t>DHN</t>
    <phoneticPr fontId="10"/>
  </si>
  <si>
    <t>RA</t>
    <phoneticPr fontId="10"/>
  </si>
  <si>
    <t>MAOEM</t>
    <phoneticPr fontId="10"/>
  </si>
  <si>
    <t>RAOEM</t>
    <phoneticPr fontId="10"/>
  </si>
  <si>
    <r>
      <t>RentAgent</t>
    </r>
    <r>
      <rPr>
        <sz val="10"/>
        <color rgb="FF000000"/>
        <rFont val="游ゴシック"/>
        <family val="2"/>
        <charset val="128"/>
      </rPr>
      <t>ネット</t>
    </r>
    <phoneticPr fontId="10"/>
  </si>
  <si>
    <r>
      <t>MyAgent</t>
    </r>
    <r>
      <rPr>
        <sz val="10"/>
        <color rgb="FF000000"/>
        <rFont val="ＭＳ Ｐゴシック"/>
        <family val="2"/>
        <charset val="128"/>
      </rPr>
      <t>ネット</t>
    </r>
    <phoneticPr fontId="10"/>
  </si>
  <si>
    <r>
      <t> </t>
    </r>
    <r>
      <rPr>
        <sz val="10"/>
        <color rgb="FF000000"/>
        <rFont val="ＭＳ Ｐゴシック"/>
        <family val="2"/>
        <charset val="128"/>
      </rPr>
      <t>ダイアホームネット</t>
    </r>
    <phoneticPr fontId="10"/>
  </si>
  <si>
    <t>Best Bit Net</t>
  </si>
  <si>
    <t>ミツウロコnet</t>
  </si>
  <si>
    <t>ガスワンnet</t>
  </si>
  <si>
    <t>アイケン光ネット</t>
  </si>
  <si>
    <t>ヘーベルメゾンWi-Fi </t>
  </si>
  <si>
    <t>ASCOM net</t>
  </si>
  <si>
    <t>KORYOBB2</t>
  </si>
  <si>
    <t>pure-net</t>
  </si>
  <si>
    <t>YMBB</t>
  </si>
  <si>
    <t>sanwaBB </t>
  </si>
  <si>
    <t>WIN-NET</t>
  </si>
  <si>
    <t>KIMIE. NET</t>
  </si>
  <si>
    <t>スマイルネットBB</t>
  </si>
  <si>
    <t>マイホームヒカリ</t>
  </si>
  <si>
    <t>RASICLAS. Net</t>
  </si>
  <si>
    <t>D'net</t>
  </si>
  <si>
    <t>PLEAST-BB</t>
  </si>
  <si>
    <t>ハッピーコムネット</t>
  </si>
  <si>
    <r>
      <t>C-Living</t>
    </r>
    <r>
      <rPr>
        <sz val="10"/>
        <color rgb="FF000000"/>
        <rFont val="ＭＳ ゴシック"/>
        <family val="3"/>
        <charset val="128"/>
      </rPr>
      <t>ネット</t>
    </r>
    <phoneticPr fontId="10"/>
  </si>
  <si>
    <t>Wendy-BB</t>
    <phoneticPr fontId="10"/>
  </si>
  <si>
    <t>mis-p</t>
    <phoneticPr fontId="10"/>
  </si>
  <si>
    <t>帳票種別</t>
  </si>
  <si>
    <t>■データの更新</t>
    <rPh sb="5" eb="7">
      <t>コウシン</t>
    </rPh>
    <phoneticPr fontId="10"/>
  </si>
  <si>
    <r>
      <rPr>
        <sz val="10"/>
        <color rgb="FF000000"/>
        <rFont val="Yu Gothic"/>
        <family val="2"/>
        <charset val="128"/>
      </rPr>
      <t>１）</t>
    </r>
    <r>
      <rPr>
        <sz val="10"/>
        <color indexed="8"/>
        <rFont val="ARIAL"/>
        <family val="2"/>
      </rPr>
      <t xml:space="preserve">SF_Data </t>
    </r>
    <r>
      <rPr>
        <sz val="10"/>
        <color rgb="FF000000"/>
        <rFont val="ＭＳ Ｐゴシック"/>
        <family val="2"/>
        <charset val="128"/>
      </rPr>
      <t>のY</t>
    </r>
    <r>
      <rPr>
        <sz val="10"/>
        <color rgb="FF000000"/>
        <rFont val="Yu Gothic"/>
        <family val="2"/>
        <charset val="128"/>
      </rPr>
      <t>列</t>
    </r>
    <r>
      <rPr>
        <sz val="10"/>
        <color rgb="FF000000"/>
        <rFont val="ＭＳ Ｐゴシック"/>
        <family val="2"/>
        <charset val="128"/>
      </rPr>
      <t>の「帳票種別」項目で、どの帳票を選択するかを判断します。</t>
    </r>
    <rPh sb="12" eb="13">
      <t>レツ</t>
    </rPh>
    <rPh sb="15" eb="17">
      <t>チョウヒョウ</t>
    </rPh>
    <rPh sb="17" eb="19">
      <t>シュベツ</t>
    </rPh>
    <rPh sb="20" eb="22">
      <t>コウモク</t>
    </rPh>
    <rPh sb="26" eb="28">
      <t>チョウヒョウ</t>
    </rPh>
    <rPh sb="29" eb="31">
      <t>センタク</t>
    </rPh>
    <rPh sb="35" eb="37">
      <t>ハンダン</t>
    </rPh>
    <phoneticPr fontId="10"/>
  </si>
  <si>
    <r>
      <rPr>
        <sz val="10"/>
        <color rgb="FF000000"/>
        <rFont val="Yu Gothic"/>
        <family val="2"/>
        <charset val="128"/>
      </rPr>
      <t>　「</t>
    </r>
    <r>
      <rPr>
        <sz val="10"/>
        <color indexed="8"/>
        <rFont val="ARIAL"/>
        <family val="2"/>
      </rPr>
      <t>MA</t>
    </r>
    <r>
      <rPr>
        <sz val="10"/>
        <color rgb="FF000000"/>
        <rFont val="Yu Gothic"/>
        <family val="2"/>
        <charset val="128"/>
      </rPr>
      <t>」の場合、利用通知「</t>
    </r>
    <r>
      <rPr>
        <sz val="10"/>
        <color rgb="FF000000"/>
        <rFont val="ARIAL"/>
        <family val="2"/>
      </rPr>
      <t>MA</t>
    </r>
    <r>
      <rPr>
        <sz val="10"/>
        <color rgb="FF000000"/>
        <rFont val="Yu Gothic"/>
        <family val="2"/>
        <charset val="128"/>
      </rPr>
      <t>」で出力</t>
    </r>
    <rPh sb="6" eb="8">
      <t>バアイ</t>
    </rPh>
    <rPh sb="9" eb="11">
      <t>リヨウ</t>
    </rPh>
    <rPh sb="11" eb="13">
      <t>ツウチ</t>
    </rPh>
    <rPh sb="18" eb="20">
      <t>シュツリョク</t>
    </rPh>
    <phoneticPr fontId="10"/>
  </si>
  <si>
    <r>
      <rPr>
        <sz val="10"/>
        <color rgb="FF000000"/>
        <rFont val="Yu Gothic"/>
        <family val="2"/>
        <charset val="128"/>
      </rPr>
      <t>　「</t>
    </r>
    <r>
      <rPr>
        <sz val="10"/>
        <color rgb="FF000000"/>
        <rFont val="ARIAL"/>
        <family val="2"/>
      </rPr>
      <t> DHN</t>
    </r>
    <r>
      <rPr>
        <sz val="10"/>
        <color rgb="FF000000"/>
        <rFont val="Yu Gothic"/>
        <family val="2"/>
        <charset val="128"/>
      </rPr>
      <t>」の場合、利用通知「</t>
    </r>
    <r>
      <rPr>
        <sz val="10"/>
        <color rgb="FF000000"/>
        <rFont val="ARIAL"/>
        <family val="2"/>
      </rPr>
      <t>DHN</t>
    </r>
    <r>
      <rPr>
        <sz val="10"/>
        <color rgb="FF000000"/>
        <rFont val="Yu Gothic"/>
        <family val="2"/>
        <charset val="128"/>
      </rPr>
      <t>」で出力</t>
    </r>
    <rPh sb="8" eb="10">
      <t>バアイ</t>
    </rPh>
    <rPh sb="11" eb="13">
      <t>リヨウ</t>
    </rPh>
    <rPh sb="13" eb="15">
      <t>ツウチ</t>
    </rPh>
    <rPh sb="21" eb="23">
      <t>シュツリョク</t>
    </rPh>
    <phoneticPr fontId="10"/>
  </si>
  <si>
    <r>
      <rPr>
        <sz val="10"/>
        <color rgb="FF000000"/>
        <rFont val="Yu Gothic"/>
        <family val="2"/>
        <charset val="128"/>
      </rPr>
      <t>　「</t>
    </r>
    <r>
      <rPr>
        <sz val="10"/>
        <color indexed="8"/>
        <rFont val="ARIAL"/>
        <family val="2"/>
      </rPr>
      <t>RA</t>
    </r>
    <r>
      <rPr>
        <sz val="10"/>
        <color rgb="FF000000"/>
        <rFont val="Yu Gothic"/>
        <family val="2"/>
        <charset val="128"/>
      </rPr>
      <t>」の場合、利用通知「</t>
    </r>
    <r>
      <rPr>
        <sz val="10"/>
        <color rgb="FF000000"/>
        <rFont val="ARIAL"/>
        <family val="2"/>
      </rPr>
      <t>RA</t>
    </r>
    <r>
      <rPr>
        <sz val="10"/>
        <color rgb="FF000000"/>
        <rFont val="Yu Gothic"/>
        <family val="2"/>
        <charset val="128"/>
      </rPr>
      <t>」で出力</t>
    </r>
    <rPh sb="6" eb="8">
      <t>バアイ</t>
    </rPh>
    <rPh sb="9" eb="11">
      <t>リヨウ</t>
    </rPh>
    <rPh sb="11" eb="13">
      <t>ツウチ</t>
    </rPh>
    <rPh sb="18" eb="20">
      <t>シュツリョク</t>
    </rPh>
    <phoneticPr fontId="10"/>
  </si>
  <si>
    <r>
      <rPr>
        <sz val="10"/>
        <color rgb="FF000000"/>
        <rFont val="Yu Gothic"/>
        <family val="2"/>
        <charset val="128"/>
      </rPr>
      <t>　「</t>
    </r>
    <r>
      <rPr>
        <sz val="10"/>
        <color indexed="8"/>
        <rFont val="ARIAL"/>
        <family val="2"/>
      </rPr>
      <t>MAOEM</t>
    </r>
    <r>
      <rPr>
        <sz val="10"/>
        <color rgb="FF000000"/>
        <rFont val="Yu Gothic"/>
        <family val="2"/>
        <charset val="128"/>
      </rPr>
      <t>」の場合、利用通知「</t>
    </r>
    <r>
      <rPr>
        <sz val="10"/>
        <color rgb="FF000000"/>
        <rFont val="ARIAL"/>
        <family val="2"/>
      </rPr>
      <t>MAOEM</t>
    </r>
    <r>
      <rPr>
        <sz val="10"/>
        <color rgb="FF000000"/>
        <rFont val="Yu Gothic"/>
        <family val="2"/>
        <charset val="128"/>
      </rPr>
      <t>」で出力</t>
    </r>
    <rPh sb="9" eb="11">
      <t>バアイ</t>
    </rPh>
    <rPh sb="12" eb="14">
      <t>リヨウ</t>
    </rPh>
    <rPh sb="14" eb="16">
      <t>ツウチ</t>
    </rPh>
    <rPh sb="24" eb="26">
      <t>シュツリョク</t>
    </rPh>
    <phoneticPr fontId="10"/>
  </si>
  <si>
    <r>
      <rPr>
        <sz val="10"/>
        <color rgb="FF000000"/>
        <rFont val="Yu Gothic"/>
        <family val="2"/>
        <charset val="128"/>
      </rPr>
      <t>　「</t>
    </r>
    <r>
      <rPr>
        <sz val="10"/>
        <color indexed="8"/>
        <rFont val="ARIAL"/>
        <family val="2"/>
      </rPr>
      <t>RAOEM</t>
    </r>
    <r>
      <rPr>
        <sz val="10"/>
        <color rgb="FF000000"/>
        <rFont val="Yu Gothic"/>
        <family val="2"/>
        <charset val="128"/>
      </rPr>
      <t>」の場合、利用通知「</t>
    </r>
    <r>
      <rPr>
        <sz val="10"/>
        <color rgb="FF000000"/>
        <rFont val="ARIAL"/>
        <family val="2"/>
      </rPr>
      <t>RAOEM</t>
    </r>
    <r>
      <rPr>
        <sz val="10"/>
        <color rgb="FF000000"/>
        <rFont val="Yu Gothic"/>
        <family val="2"/>
        <charset val="128"/>
      </rPr>
      <t>」で出力</t>
    </r>
    <rPh sb="9" eb="11">
      <t>バアイ</t>
    </rPh>
    <rPh sb="12" eb="14">
      <t>リヨウ</t>
    </rPh>
    <rPh sb="14" eb="16">
      <t>ツウチ</t>
    </rPh>
    <rPh sb="24" eb="26">
      <t>シュツリョク</t>
    </rPh>
    <phoneticPr fontId="10"/>
  </si>
  <si>
    <t>３）下記の規則で、該当フォルダーに保存します。</t>
    <rPh sb="2" eb="4">
      <t>カキ</t>
    </rPh>
    <rPh sb="5" eb="7">
      <t>キソク</t>
    </rPh>
    <rPh sb="9" eb="11">
      <t>ガイトウ</t>
    </rPh>
    <rPh sb="17" eb="19">
      <t>ホゾン</t>
    </rPh>
    <phoneticPr fontId="10"/>
  </si>
  <si>
    <r>
      <t>C:\Box\</t>
    </r>
    <r>
      <rPr>
        <sz val="10"/>
        <color rgb="FF000000"/>
        <rFont val="Yu Gothic"/>
        <family val="2"/>
        <charset val="128"/>
      </rPr>
      <t>業務グループ</t>
    </r>
    <r>
      <rPr>
        <sz val="10"/>
        <color indexed="8"/>
        <rFont val="ARIAL"/>
        <family val="2"/>
      </rPr>
      <t>\03.</t>
    </r>
    <r>
      <rPr>
        <sz val="10"/>
        <color rgb="FF000000"/>
        <rFont val="Yu Gothic"/>
        <family val="2"/>
        <charset val="128"/>
      </rPr>
      <t>顧客情報</t>
    </r>
    <r>
      <rPr>
        <sz val="10"/>
        <color indexed="8"/>
        <rFont val="ARIAL"/>
        <family val="2"/>
      </rPr>
      <t>\00.GIGA</t>
    </r>
    <r>
      <rPr>
        <sz val="10"/>
        <color rgb="FF000000"/>
        <rFont val="Yu Gothic"/>
        <family val="2"/>
        <charset val="128"/>
      </rPr>
      <t>利用通知\帳票種別のフォルダ</t>
    </r>
    <r>
      <rPr>
        <sz val="10"/>
        <color indexed="8"/>
        <rFont val="ARIAL"/>
        <family val="2"/>
      </rPr>
      <t>(</t>
    </r>
    <r>
      <rPr>
        <sz val="10"/>
        <color rgb="FF000000"/>
        <rFont val="Yu Gothic"/>
        <family val="2"/>
      </rPr>
      <t>MA/DHN/RA/MAOEM/RAOEM</t>
    </r>
    <r>
      <rPr>
        <sz val="10"/>
        <color indexed="8"/>
        <rFont val="ARIAL"/>
        <family val="2"/>
      </rPr>
      <t>)</t>
    </r>
    <rPh sb="34" eb="36">
      <t>チョウヒョウ</t>
    </rPh>
    <rPh sb="36" eb="38">
      <t>シュベツ</t>
    </rPh>
    <phoneticPr fontId="10"/>
  </si>
  <si>
    <t>　【[サービス名]利用通知】_[お客様番号]_YYYYMMDD.xlsx</t>
    <rPh sb="7" eb="8">
      <t>メイ</t>
    </rPh>
    <rPh sb="9" eb="11">
      <t>リヨウ</t>
    </rPh>
    <rPh sb="11" eb="13">
      <t>ツウチ</t>
    </rPh>
    <rPh sb="17" eb="18">
      <t>キャク</t>
    </rPh>
    <rPh sb="18" eb="19">
      <t>サマ</t>
    </rPh>
    <rPh sb="19" eb="21">
      <t>バンゴウ</t>
    </rPh>
    <phoneticPr fontId="10"/>
  </si>
  <si>
    <t>　例）【MyAgentネット利用通知】1003_19412_20220124.xlsx</t>
    <rPh sb="1" eb="2">
      <t>レイ</t>
    </rPh>
    <rPh sb="14" eb="16">
      <t>リヨウ</t>
    </rPh>
    <rPh sb="16" eb="18">
      <t>ツウチ</t>
    </rPh>
    <phoneticPr fontId="10"/>
  </si>
  <si>
    <t>　　※帳票種別毎のフォルダーに保存する</t>
    <rPh sb="3" eb="5">
      <t>チョウヒョウ</t>
    </rPh>
    <rPh sb="5" eb="7">
      <t>シュベツ</t>
    </rPh>
    <rPh sb="7" eb="8">
      <t>マイ</t>
    </rPh>
    <rPh sb="15" eb="17">
      <t>ホゾン</t>
    </rPh>
    <phoneticPr fontId="10"/>
  </si>
  <si>
    <t>帳票種別</t>
    <rPh sb="0" eb="2">
      <t>チョウヒョウ</t>
    </rPh>
    <rPh sb="2" eb="4">
      <t>シュベツ</t>
    </rPh>
    <phoneticPr fontId="10"/>
  </si>
  <si>
    <t>主要なサービスの内容</t>
    <rPh sb="0" eb="2">
      <t>シュヨウ</t>
    </rPh>
    <rPh sb="8" eb="10">
      <t>ナイヨウ</t>
    </rPh>
    <phoneticPr fontId="10"/>
  </si>
  <si>
    <t>主要なサービスの内容</t>
    <phoneticPr fontId="10"/>
  </si>
  <si>
    <t>受信サーバー(POP)</t>
    <phoneticPr fontId="10"/>
  </si>
  <si>
    <t>受信サーバー(IMAP)</t>
    <phoneticPr fontId="10"/>
  </si>
  <si>
    <t>支払方法</t>
  </si>
  <si>
    <t>ポート：995</t>
    <phoneticPr fontId="10"/>
  </si>
  <si>
    <t>ポート：993</t>
    <phoneticPr fontId="10"/>
  </si>
  <si>
    <t>ポート：465</t>
    <phoneticPr fontId="10"/>
  </si>
  <si>
    <t>pop.cs-contact.jp</t>
    <phoneticPr fontId="10"/>
  </si>
  <si>
    <t>imap.cs-contact.jp</t>
    <phoneticPr fontId="10"/>
  </si>
  <si>
    <t>smtp.cs-contact.jp</t>
    <phoneticPr fontId="10"/>
  </si>
  <si>
    <t>「認証が必要」をチェックする  (Login/CRAM-MD5/PLAINに対応)</t>
  </si>
  <si>
    <t>　・　入会から2ヶ月間はサービスのご解約はできません。</t>
    <phoneticPr fontId="10"/>
  </si>
  <si>
    <t>ホームページスペースID</t>
  </si>
  <si>
    <t>http://www.dia-net.ne.jp/</t>
    <phoneticPr fontId="10"/>
  </si>
  <si>
    <t>株式会社ギガプライズ　インターネットカスタマーサポート</t>
    <rPh sb="0" eb="4">
      <t>カブシキガイシャ</t>
    </rPh>
    <phoneticPr fontId="10"/>
  </si>
  <si>
    <t>適格請求書発行事業者登録番号：T1011001064255</t>
    <phoneticPr fontId="10"/>
  </si>
  <si>
    <t>※　本書には個人を特定する重要な情報が記載されていますので、大切に保管してください。</t>
    <phoneticPr fontId="10"/>
  </si>
  <si>
    <t>※　本サービスのご利用はマンション入居者に限ります。ご退去時は解約のお手続きをお願いいたします。</t>
    <phoneticPr fontId="10"/>
  </si>
  <si>
    <t xml:space="preserve"> ・　本サービスはベストエフォート型サービスとなっております。実際の通信速度はお客様ご利用のパソコン環境や設定状況、サイトまでの経路</t>
    <phoneticPr fontId="10"/>
  </si>
  <si>
    <t xml:space="preserve"> ・　サービスの提供の制限について、本サービス全体もしくは他の利用者に支障を及ぼす恐れのある行為があった場合（一部のお客様が通信設備</t>
    <rPh sb="62" eb="64">
      <t>ツウシン</t>
    </rPh>
    <rPh sb="64" eb="66">
      <t>セツビ</t>
    </rPh>
    <phoneticPr fontId="10"/>
  </si>
  <si>
    <t>　</t>
    <phoneticPr fontId="10"/>
  </si>
  <si>
    <t xml:space="preserve">　 </t>
    <phoneticPr fontId="10"/>
  </si>
  <si>
    <t xml:space="preserve"> の混雑状況により異なります。</t>
    <phoneticPr fontId="10"/>
  </si>
  <si>
    <t xml:space="preserve"> の大部分を利用する場合等）、該当のお客様に是正措置を求め、または本サービスの提供を一時的に停止もしくは中断する場合があります。</t>
    <phoneticPr fontId="10"/>
  </si>
  <si>
    <t xml:space="preserve"> ・　入会から2ヶ月間はサービスのご解約はできません。</t>
    <phoneticPr fontId="10"/>
  </si>
  <si>
    <t xml:space="preserve"> ・　解約の場合は、解約する月の23日までに所定の書面にて届けるものとします。</t>
    <phoneticPr fontId="10"/>
  </si>
  <si>
    <t xml:space="preserve"> ２．この場合、お客様は損害賠償もしくは違約金その他の金銭等を請求されることはありません。また、契約に関連して弊社が金銭等を受領</t>
    <phoneticPr fontId="10"/>
  </si>
  <si>
    <t xml:space="preserve"> 1. 本書面をお客様が受領した日から起算して８日を経過するまでの間、書面により本契約の解除を行うことができます。この効力は書面を</t>
    <phoneticPr fontId="10"/>
  </si>
  <si>
    <t xml:space="preserve">   　している際には、当該金銭等をお客様へ返還いたします。</t>
    <phoneticPr fontId="10"/>
  </si>
  <si>
    <t xml:space="preserve">     して８日を経過するまでの間であれば契約を解除することができます。</t>
    <phoneticPr fontId="10"/>
  </si>
  <si>
    <t xml:space="preserve">     【本件についてのお問合せ先・書面の送付先】　 上記&lt;契約内容変更・解約の条件等&gt;に記載しております。</t>
    <phoneticPr fontId="10"/>
  </si>
  <si>
    <t xml:space="preserve"> ３. 事業者が初期契約解除制度について不実のことを告げたことにより、お客様が告げられた内容が事実であるとの誤認をし、これによって</t>
    <phoneticPr fontId="10"/>
  </si>
  <si>
    <t>　   ８日間を経過するまでに契約を解除しなかった場合、本契約の解除を行うことができる旨を記載し、交付した書面を受領した日から起算</t>
    <rPh sb="63" eb="65">
      <t>キサン</t>
    </rPh>
    <phoneticPr fontId="10"/>
  </si>
  <si>
    <t>　　 発した時に生じます。</t>
    <phoneticPr fontId="10"/>
  </si>
  <si>
    <r>
      <t>R13</t>
    </r>
    <r>
      <rPr>
        <sz val="10"/>
        <color rgb="FF000000"/>
        <rFont val="ＭＳ Ｐゴシック"/>
        <family val="2"/>
        <charset val="128"/>
      </rPr>
      <t>の関数を</t>
    </r>
    <r>
      <rPr>
        <sz val="10"/>
        <color rgb="FF000000"/>
        <rFont val="ARIAL"/>
        <family val="2"/>
      </rPr>
      <t>R12</t>
    </r>
    <r>
      <rPr>
        <sz val="10"/>
        <color rgb="FF000000"/>
        <rFont val="ＭＳ Ｐゴシック"/>
        <family val="2"/>
        <charset val="128"/>
      </rPr>
      <t>に移動</t>
    </r>
    <rPh sb="4" eb="6">
      <t>カンスウ</t>
    </rPh>
    <rPh sb="11" eb="13">
      <t>イドウ</t>
    </rPh>
    <phoneticPr fontId="10"/>
  </si>
  <si>
    <r>
      <t>R14</t>
    </r>
    <r>
      <rPr>
        <sz val="10"/>
        <color rgb="FF000000"/>
        <rFont val="ＭＳ Ｐゴシック"/>
        <family val="2"/>
        <charset val="128"/>
      </rPr>
      <t>の関数を</t>
    </r>
    <r>
      <rPr>
        <sz val="10"/>
        <color rgb="FF000000"/>
        <rFont val="ARIAL"/>
        <family val="2"/>
      </rPr>
      <t>R13</t>
    </r>
    <r>
      <rPr>
        <sz val="10"/>
        <color rgb="FF000000"/>
        <rFont val="ＭＳ Ｐゴシック"/>
        <family val="2"/>
        <charset val="128"/>
      </rPr>
      <t>に移動</t>
    </r>
    <rPh sb="4" eb="6">
      <t>カンスウ</t>
    </rPh>
    <rPh sb="11" eb="13">
      <t>イドウ</t>
    </rPh>
    <phoneticPr fontId="10"/>
  </si>
  <si>
    <r>
      <t>C23</t>
    </r>
    <r>
      <rPr>
        <sz val="10"/>
        <color rgb="FF000000"/>
        <rFont val="ＭＳ Ｐゴシック"/>
        <family val="2"/>
        <charset val="128"/>
      </rPr>
      <t>に関数を追加</t>
    </r>
    <rPh sb="4" eb="6">
      <t>カンスウ</t>
    </rPh>
    <rPh sb="7" eb="9">
      <t>ツイカ</t>
    </rPh>
    <phoneticPr fontId="10"/>
  </si>
  <si>
    <r>
      <t>T</t>
    </r>
    <r>
      <rPr>
        <sz val="10"/>
        <color rgb="FF000000"/>
        <rFont val="ARIAL"/>
        <family val="2"/>
      </rPr>
      <t>79</t>
    </r>
    <r>
      <rPr>
        <sz val="10"/>
        <color rgb="FF000000"/>
        <rFont val="ＭＳ Ｐゴシック"/>
        <family val="2"/>
        <charset val="128"/>
      </rPr>
      <t>に関数を追加</t>
    </r>
    <rPh sb="4" eb="6">
      <t>カンスウ</t>
    </rPh>
    <rPh sb="7" eb="9">
      <t>ツイカ</t>
    </rPh>
    <phoneticPr fontId="10"/>
  </si>
  <si>
    <r>
      <t>Q79</t>
    </r>
    <r>
      <rPr>
        <sz val="10"/>
        <color rgb="FF000000"/>
        <rFont val="ＭＳ Ｐゴシック"/>
        <family val="2"/>
        <charset val="128"/>
      </rPr>
      <t>セルの結合範囲を変更。（関数内容に変更なし）</t>
    </r>
    <rPh sb="6" eb="8">
      <t>ケツゴウ</t>
    </rPh>
    <rPh sb="8" eb="10">
      <t>ハンイ</t>
    </rPh>
    <rPh sb="11" eb="13">
      <t>ヘンコウ</t>
    </rPh>
    <rPh sb="15" eb="17">
      <t>カンスウ</t>
    </rPh>
    <rPh sb="17" eb="19">
      <t>ナイヨウ</t>
    </rPh>
    <rPh sb="20" eb="22">
      <t>ヘンコウ</t>
    </rPh>
    <phoneticPr fontId="10"/>
  </si>
  <si>
    <r>
      <t>Q81</t>
    </r>
    <r>
      <rPr>
        <sz val="10"/>
        <color rgb="FF000000"/>
        <rFont val="ＭＳ Ｐゴシック"/>
        <family val="2"/>
        <charset val="128"/>
      </rPr>
      <t>セルの結合範囲を変更。（関数内容に変更なし）</t>
    </r>
    <rPh sb="6" eb="8">
      <t>ケツゴウ</t>
    </rPh>
    <rPh sb="8" eb="10">
      <t>ハンイ</t>
    </rPh>
    <rPh sb="11" eb="13">
      <t>ヘンコウ</t>
    </rPh>
    <rPh sb="15" eb="17">
      <t>カンスウ</t>
    </rPh>
    <rPh sb="17" eb="19">
      <t>ナイヨウ</t>
    </rPh>
    <rPh sb="20" eb="22">
      <t>ヘンコウ</t>
    </rPh>
    <phoneticPr fontId="10"/>
  </si>
  <si>
    <r>
      <t>T81,Z</t>
    </r>
    <r>
      <rPr>
        <sz val="10"/>
        <color rgb="FF000000"/>
        <rFont val="ARIAL"/>
        <family val="2"/>
      </rPr>
      <t>81</t>
    </r>
    <r>
      <rPr>
        <sz val="10"/>
        <color rgb="FF000000"/>
        <rFont val="ＭＳ Ｐゴシック"/>
        <family val="2"/>
        <charset val="128"/>
      </rPr>
      <t>にそれぞれ関数を追加</t>
    </r>
    <rPh sb="12" eb="14">
      <t>カンスウ</t>
    </rPh>
    <rPh sb="15" eb="17">
      <t>ツイカ</t>
    </rPh>
    <phoneticPr fontId="10"/>
  </si>
  <si>
    <r>
      <t>Q83</t>
    </r>
    <r>
      <rPr>
        <sz val="10"/>
        <color rgb="FF000000"/>
        <rFont val="ＭＳ Ｐゴシック"/>
        <family val="2"/>
        <charset val="128"/>
      </rPr>
      <t>セルの結合範囲を変更。（関数内容に変更なし）</t>
    </r>
    <rPh sb="6" eb="8">
      <t>ケツゴウ</t>
    </rPh>
    <rPh sb="8" eb="10">
      <t>ハンイ</t>
    </rPh>
    <rPh sb="11" eb="13">
      <t>ヘンコウ</t>
    </rPh>
    <rPh sb="15" eb="17">
      <t>カンスウ</t>
    </rPh>
    <rPh sb="17" eb="19">
      <t>ナイヨウ</t>
    </rPh>
    <rPh sb="20" eb="22">
      <t>ヘンコウ</t>
    </rPh>
    <phoneticPr fontId="10"/>
  </si>
  <si>
    <r>
      <t>T83,Z83</t>
    </r>
    <r>
      <rPr>
        <sz val="10"/>
        <color rgb="FF000000"/>
        <rFont val="ＭＳ Ｐゴシック"/>
        <family val="2"/>
        <charset val="128"/>
      </rPr>
      <t>に関数を追加</t>
    </r>
    <rPh sb="8" eb="10">
      <t>カンスウ</t>
    </rPh>
    <rPh sb="11" eb="13">
      <t>ツイカ</t>
    </rPh>
    <phoneticPr fontId="10"/>
  </si>
  <si>
    <r>
      <t>Q87</t>
    </r>
    <r>
      <rPr>
        <sz val="10"/>
        <color rgb="FF000000"/>
        <rFont val="ＭＳ Ｐゴシック"/>
        <family val="2"/>
        <charset val="128"/>
      </rPr>
      <t>セルの結合範囲を変更。（関数内容に変更なし）</t>
    </r>
    <rPh sb="6" eb="8">
      <t>ケツゴウ</t>
    </rPh>
    <rPh sb="8" eb="10">
      <t>ハンイ</t>
    </rPh>
    <rPh sb="11" eb="13">
      <t>ヘンコウ</t>
    </rPh>
    <rPh sb="15" eb="17">
      <t>カンスウ</t>
    </rPh>
    <rPh sb="17" eb="19">
      <t>ナイヨウ</t>
    </rPh>
    <rPh sb="20" eb="22">
      <t>ヘンコウ</t>
    </rPh>
    <phoneticPr fontId="10"/>
  </si>
  <si>
    <r>
      <t>B92</t>
    </r>
    <r>
      <rPr>
        <sz val="10"/>
        <color rgb="FF000000"/>
        <rFont val="ＭＳ Ｐゴシック"/>
        <family val="2"/>
        <charset val="128"/>
      </rPr>
      <t>に関数を追加</t>
    </r>
    <rPh sb="4" eb="6">
      <t>カンスウ</t>
    </rPh>
    <rPh sb="7" eb="9">
      <t>ツイカ</t>
    </rPh>
    <phoneticPr fontId="10"/>
  </si>
  <si>
    <r>
      <t>T</t>
    </r>
    <r>
      <rPr>
        <sz val="10"/>
        <color rgb="FF000000"/>
        <rFont val="ARIAL"/>
        <family val="2"/>
      </rPr>
      <t>87</t>
    </r>
    <r>
      <rPr>
        <sz val="10"/>
        <color indexed="8"/>
        <rFont val="ARIAL"/>
        <family val="2"/>
      </rPr>
      <t>,Z87</t>
    </r>
    <r>
      <rPr>
        <sz val="10"/>
        <color rgb="FF000000"/>
        <rFont val="ＭＳ Ｐゴシック"/>
        <family val="2"/>
        <charset val="128"/>
      </rPr>
      <t>にそれぞれ関数を追加</t>
    </r>
    <rPh sb="12" eb="14">
      <t>カンスウ</t>
    </rPh>
    <rPh sb="15" eb="17">
      <t>ツイカ</t>
    </rPh>
    <phoneticPr fontId="1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</si>
</sst>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5" formatCode="&quot;¥&quot;#,##0;&quot;¥&quot;\-#,##0"/>
    <numFmt numFmtId="176" formatCode="&quot;¥&quot;#,##0_);[Red]\(&quot;¥&quot;#,##0\)"/>
  </numFmts>
  <fonts count="36">
    <font>
      <sz val="10"/>
      <color indexed="8"/>
      <name val="ARIAL"/>
      <family val="2"/>
    </font>
    <font>
      <sz val="10"/>
      <color indexed="8"/>
      <name val="ARIAL"/>
      <family val="2"/>
    </font>
    <font>
      <sz val="8"/>
      <color indexed="8"/>
      <name val="BIZ UDPゴシック"/>
      <family val="3"/>
      <charset val="128"/>
    </font>
    <font>
      <sz val="10"/>
      <color indexed="8"/>
      <name val="BIZ UDPゴシック"/>
      <family val="3"/>
      <charset val="128"/>
    </font>
    <font>
      <sz val="7"/>
      <color indexed="8"/>
      <name val="BIZ UDPゴシック"/>
      <family val="3"/>
      <charset val="128"/>
    </font>
    <font>
      <b/>
      <sz val="15"/>
      <color indexed="11"/>
      <name val="BIZ UDPゴシック"/>
      <family val="3"/>
      <charset val="128"/>
    </font>
    <font>
      <sz val="10"/>
      <color indexed="10"/>
      <name val="BIZ UDPゴシック"/>
      <family val="3"/>
      <charset val="128"/>
    </font>
    <font>
      <b/>
      <sz val="10"/>
      <color indexed="8"/>
      <name val="BIZ UDPゴシック"/>
      <family val="3"/>
      <charset val="128"/>
    </font>
    <font>
      <b/>
      <sz val="7"/>
      <color indexed="8"/>
      <name val="BIZ UDPゴシック"/>
      <family val="3"/>
      <charset val="128"/>
    </font>
    <font>
      <b/>
      <sz val="8"/>
      <color indexed="8"/>
      <name val="BIZ UDPゴシック"/>
      <family val="3"/>
      <charset val="128"/>
    </font>
    <font>
      <sz val="6"/>
      <name val="ＭＳ Ｐゴシック"/>
      <family val="3"/>
      <charset val="128"/>
    </font>
    <font>
      <sz val="10"/>
      <color rgb="FF000000"/>
      <name val="ＭＳ Ｐゴシック"/>
      <family val="3"/>
      <charset val="128"/>
    </font>
    <font>
      <sz val="10"/>
      <color rgb="FFFF0000"/>
      <name val="ＭＳ Ｐゴシック"/>
      <family val="3"/>
      <charset val="128"/>
    </font>
    <font>
      <sz val="10"/>
      <color rgb="FFFF0000"/>
      <name val="ARIAL"/>
      <family val="2"/>
    </font>
    <font>
      <sz val="11"/>
      <color rgb="FF000000"/>
      <name val="游ゴシック Light"/>
      <family val="3"/>
      <charset val="128"/>
    </font>
    <font>
      <sz val="11"/>
      <color indexed="8"/>
      <name val="游ゴシック Light"/>
      <family val="3"/>
      <charset val="128"/>
    </font>
    <font>
      <b/>
      <sz val="15"/>
      <color theme="0"/>
      <name val="BIZ UDPゴシック"/>
      <family val="3"/>
      <charset val="128"/>
    </font>
    <font>
      <sz val="8"/>
      <color rgb="FF000000"/>
      <name val="BIZ UDPゴシック"/>
      <family val="3"/>
      <charset val="128"/>
    </font>
    <font>
      <sz val="16"/>
      <color indexed="8"/>
      <name val="BIZ UDPゴシック"/>
      <family val="3"/>
      <charset val="128"/>
    </font>
    <font>
      <b/>
      <sz val="10"/>
      <color rgb="FF000000"/>
      <name val="ＭＳ Ｐゴシック"/>
      <family val="3"/>
      <charset val="128"/>
    </font>
    <font>
      <sz val="10"/>
      <color indexed="8"/>
      <name val="ARIAL"/>
      <family val="2"/>
      <charset val="128"/>
    </font>
    <font>
      <sz val="10"/>
      <color rgb="FF000000"/>
      <name val="Yu Gothic"/>
      <family val="2"/>
      <charset val="128"/>
    </font>
    <font>
      <sz val="10"/>
      <color rgb="FF000000"/>
      <name val="ARIAL"/>
      <family val="2"/>
      <charset val="128"/>
    </font>
    <font>
      <sz val="10"/>
      <color rgb="FF000000"/>
      <name val="ARIAL"/>
      <family val="2"/>
    </font>
    <font>
      <sz val="8"/>
      <color rgb="FF000000"/>
      <name val="Segoe UI"/>
      <family val="3"/>
      <charset val="128"/>
    </font>
    <font>
      <sz val="10"/>
      <color rgb="FF000000"/>
      <name val="ＭＳ Ｐゴシック"/>
      <family val="2"/>
      <charset val="128"/>
    </font>
    <font>
      <sz val="10"/>
      <color rgb="FF000000"/>
      <name val="游ゴシック"/>
      <family val="2"/>
      <charset val="128"/>
    </font>
    <font>
      <sz val="16"/>
      <color rgb="FF000000"/>
      <name val="ＭＳ Ｐゴシック"/>
      <family val="2"/>
      <charset val="128"/>
    </font>
    <font>
      <sz val="10"/>
      <color rgb="FF000000"/>
      <name val="ＭＳ ゴシック"/>
      <family val="3"/>
      <charset val="128"/>
    </font>
    <font>
      <sz val="10"/>
      <color rgb="FF000000"/>
      <name val="Yu Gothic"/>
      <family val="2"/>
    </font>
    <font>
      <u/>
      <sz val="10"/>
      <color theme="10"/>
      <name val="ARIAL"/>
      <family val="2"/>
    </font>
    <font>
      <sz val="10"/>
      <name val="ARIAL"/>
      <family val="2"/>
    </font>
    <font>
      <sz val="9"/>
      <color indexed="8"/>
      <name val="BIZ UDPゴシック"/>
      <family val="3"/>
      <charset val="128"/>
    </font>
    <font>
      <sz val="10"/>
      <color rgb="FFFF0000"/>
      <name val="BIZ UDPゴシック"/>
      <family val="3"/>
      <charset val="128"/>
    </font>
    <font>
      <b/>
      <sz val="9"/>
      <color indexed="8"/>
      <name val="BIZ UDPゴシック"/>
      <family val="3"/>
      <charset val="128"/>
    </font>
    <font>
      <sz val="10"/>
      <color indexed="8"/>
      <name val="ＭＳ Ｐゴシック"/>
      <family val="2"/>
      <charset val="128"/>
    </font>
  </fonts>
  <fills count="8">
    <fill>
      <patternFill patternType="none"/>
    </fill>
    <fill>
      <patternFill patternType="gray125"/>
    </fill>
    <fill>
      <patternFill patternType="solid">
        <fgColor theme="2"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8" tint="-0.249977111117893"/>
        <bgColor indexed="64"/>
      </patternFill>
    </fill>
    <fill>
      <patternFill patternType="solid">
        <fgColor theme="0" tint="-4.9989318521683403E-2"/>
        <bgColor indexed="64" tint="1"/>
      </patternFill>
    </fill>
  </fills>
  <borders count="26">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top/>
      <bottom/>
      <diagonal/>
    </border>
    <border>
      <left/>
      <right/>
      <top style="thin">
        <color auto="1"/>
      </top>
      <bottom/>
      <diagonal/>
    </border>
    <border>
      <left/>
      <right style="thin">
        <color auto="1"/>
      </right>
      <top style="thin">
        <color auto="1"/>
      </top>
      <bottom/>
      <diagonal/>
    </border>
  </borders>
  <cellStyleXfs count="3">
    <xf numFmtId="0" fontId="0" fillId="0" borderId="0">
      <alignment vertical="top"/>
    </xf>
    <xf numFmtId="0" fontId="1" fillId="0" borderId="0">
      <alignment vertical="top"/>
    </xf>
    <xf numFmtId="0" fontId="30" fillId="0" borderId="0" applyNumberFormat="0" applyFill="0" applyBorder="0" applyAlignment="0" applyProtection="0">
      <alignment vertical="top"/>
    </xf>
  </cellStyleXfs>
  <cellXfs count="189">
    <xf numFmtId="0" fontId="0" fillId="0" borderId="0" xfId="0">
      <alignment vertical="top"/>
    </xf>
    <xf numFmtId="0" fontId="11" fillId="0" borderId="0" xfId="0" applyFont="1">
      <alignment vertical="top"/>
    </xf>
    <xf numFmtId="0" fontId="1" fillId="0" borderId="0" xfId="0" applyFont="1">
      <alignment vertical="top"/>
    </xf>
    <xf numFmtId="0" fontId="12" fillId="0" borderId="0" xfId="0" applyFont="1">
      <alignment vertical="top"/>
    </xf>
    <xf numFmtId="0" fontId="13" fillId="0" borderId="0" xfId="0" applyFont="1">
      <alignment vertical="top"/>
    </xf>
    <xf numFmtId="14" fontId="0" fillId="0" borderId="0" xfId="0" applyNumberFormat="1">
      <alignment vertical="top"/>
    </xf>
    <xf numFmtId="0" fontId="14" fillId="0" borderId="0" xfId="0" applyFont="1">
      <alignment vertical="top"/>
    </xf>
    <xf numFmtId="0" fontId="15" fillId="0" borderId="0" xfId="0" applyFont="1">
      <alignment vertical="top"/>
    </xf>
    <xf numFmtId="0" fontId="0" fillId="0" borderId="3" xfId="0" applyBorder="1">
      <alignment vertical="top"/>
    </xf>
    <xf numFmtId="0" fontId="0" fillId="0" borderId="4" xfId="0" applyBorder="1">
      <alignment vertical="top"/>
    </xf>
    <xf numFmtId="0" fontId="0" fillId="0" borderId="5" xfId="0" applyBorder="1">
      <alignment vertical="top"/>
    </xf>
    <xf numFmtId="0" fontId="0" fillId="0" borderId="8" xfId="0" applyBorder="1">
      <alignment vertical="top"/>
    </xf>
    <xf numFmtId="0" fontId="0" fillId="0" borderId="1" xfId="0" applyBorder="1">
      <alignment vertical="top"/>
    </xf>
    <xf numFmtId="0" fontId="0" fillId="0" borderId="9" xfId="0" applyBorder="1">
      <alignment vertical="top"/>
    </xf>
    <xf numFmtId="0" fontId="0" fillId="0" borderId="6" xfId="0" applyBorder="1">
      <alignment vertical="top"/>
    </xf>
    <xf numFmtId="0" fontId="0" fillId="0" borderId="7" xfId="0" applyBorder="1">
      <alignment vertical="top"/>
    </xf>
    <xf numFmtId="0" fontId="0" fillId="0" borderId="16" xfId="0" applyBorder="1">
      <alignment vertical="top"/>
    </xf>
    <xf numFmtId="0" fontId="0" fillId="0" borderId="14" xfId="0" applyBorder="1">
      <alignment vertical="top"/>
    </xf>
    <xf numFmtId="0" fontId="2" fillId="0" borderId="6" xfId="0" applyFont="1" applyBorder="1" applyAlignment="1">
      <alignment vertical="center" wrapText="1" readingOrder="1"/>
    </xf>
    <xf numFmtId="0" fontId="0" fillId="0" borderId="15" xfId="0" applyBorder="1">
      <alignment vertical="top"/>
    </xf>
    <xf numFmtId="0" fontId="2" fillId="0" borderId="19" xfId="0" applyFont="1" applyBorder="1" applyAlignment="1">
      <alignment horizontal="center" vertical="center" wrapText="1" readingOrder="1"/>
    </xf>
    <xf numFmtId="0" fontId="3" fillId="0" borderId="9" xfId="0" applyFont="1" applyBorder="1" applyAlignment="1">
      <alignment horizontal="center" vertical="center" wrapText="1" readingOrder="1"/>
    </xf>
    <xf numFmtId="0" fontId="2" fillId="0" borderId="0" xfId="0" applyFont="1" applyAlignment="1">
      <alignment vertical="center" wrapText="1" readingOrder="1"/>
    </xf>
    <xf numFmtId="0" fontId="2" fillId="0" borderId="0" xfId="0" applyFont="1">
      <alignment vertical="top"/>
    </xf>
    <xf numFmtId="0" fontId="2" fillId="0" borderId="0" xfId="0" applyFont="1" applyAlignment="1">
      <alignment vertical="top" wrapText="1"/>
    </xf>
    <xf numFmtId="0" fontId="4" fillId="0" borderId="23" xfId="0" applyFont="1" applyBorder="1" applyAlignment="1">
      <alignment vertical="center" wrapText="1" readingOrder="1"/>
    </xf>
    <xf numFmtId="0" fontId="4" fillId="0" borderId="0" xfId="0" applyFont="1" applyAlignment="1">
      <alignment vertical="center" wrapText="1" readingOrder="1"/>
    </xf>
    <xf numFmtId="49" fontId="15" fillId="0" borderId="0" xfId="0" quotePrefix="1" applyNumberFormat="1" applyFont="1">
      <alignment vertical="top"/>
    </xf>
    <xf numFmtId="0" fontId="17" fillId="0" borderId="0" xfId="0" applyFont="1">
      <alignment vertical="top"/>
    </xf>
    <xf numFmtId="0" fontId="18" fillId="0" borderId="0" xfId="0" applyFont="1" applyAlignment="1">
      <alignment vertical="center"/>
    </xf>
    <xf numFmtId="0" fontId="3" fillId="0" borderId="0" xfId="0" applyFont="1" applyAlignment="1">
      <alignment vertical="center"/>
    </xf>
    <xf numFmtId="0" fontId="19" fillId="0" borderId="0" xfId="0" applyFont="1">
      <alignment vertical="top"/>
    </xf>
    <xf numFmtId="0" fontId="20" fillId="0" borderId="0" xfId="0" applyFont="1">
      <alignment vertical="top"/>
    </xf>
    <xf numFmtId="0" fontId="22" fillId="0" borderId="0" xfId="0" applyFont="1">
      <alignment vertical="top"/>
    </xf>
    <xf numFmtId="0" fontId="24" fillId="0" borderId="0" xfId="0" applyFont="1" applyAlignment="1">
      <alignment vertical="center" wrapText="1"/>
    </xf>
    <xf numFmtId="0" fontId="21" fillId="0" borderId="0" xfId="0" applyFont="1">
      <alignment vertical="top"/>
    </xf>
    <xf numFmtId="0" fontId="26" fillId="0" borderId="0" xfId="0" applyFont="1">
      <alignment vertical="top"/>
    </xf>
    <xf numFmtId="0" fontId="27" fillId="0" borderId="0" xfId="0" applyFont="1">
      <alignment vertical="top"/>
    </xf>
    <xf numFmtId="0" fontId="0" fillId="0" borderId="2" xfId="0" applyBorder="1">
      <alignment vertical="top"/>
    </xf>
    <xf numFmtId="0" fontId="25" fillId="5" borderId="2" xfId="0" applyFont="1" applyFill="1" applyBorder="1">
      <alignment vertical="top"/>
    </xf>
    <xf numFmtId="0" fontId="0" fillId="5" borderId="2" xfId="0" applyFill="1" applyBorder="1">
      <alignment vertical="top"/>
    </xf>
    <xf numFmtId="0" fontId="0" fillId="6" borderId="0" xfId="0" applyFill="1">
      <alignment vertical="top"/>
    </xf>
    <xf numFmtId="0" fontId="30" fillId="0" borderId="0" xfId="2" applyNumberFormat="1">
      <alignment vertical="top"/>
    </xf>
    <xf numFmtId="0" fontId="31" fillId="0" borderId="0" xfId="2" applyNumberFormat="1" applyFont="1">
      <alignment vertical="top"/>
    </xf>
    <xf numFmtId="0" fontId="0" fillId="3" borderId="3" xfId="0" applyFill="1" applyBorder="1">
      <alignment vertical="top"/>
    </xf>
    <xf numFmtId="0" fontId="0" fillId="3" borderId="4" xfId="0" applyFill="1" applyBorder="1">
      <alignment vertical="top"/>
    </xf>
    <xf numFmtId="0" fontId="0" fillId="3" borderId="6" xfId="0" applyFill="1" applyBorder="1">
      <alignment vertical="top"/>
    </xf>
    <xf numFmtId="0" fontId="0" fillId="3" borderId="0" xfId="0" applyFill="1">
      <alignment vertical="top"/>
    </xf>
    <xf numFmtId="0" fontId="0" fillId="3" borderId="8" xfId="0" applyFill="1" applyBorder="1">
      <alignment vertical="top"/>
    </xf>
    <xf numFmtId="0" fontId="0" fillId="3" borderId="1" xfId="0" applyFill="1" applyBorder="1">
      <alignment vertical="top"/>
    </xf>
    <xf numFmtId="0" fontId="2" fillId="0" borderId="0" xfId="0" applyFont="1" applyAlignment="1">
      <alignment horizontal="left" vertical="center" wrapText="1" readingOrder="1"/>
    </xf>
    <xf numFmtId="0" fontId="2" fillId="0" borderId="0" xfId="0" applyFont="1" applyAlignment="1">
      <alignment horizontal="left" vertical="center"/>
    </xf>
    <xf numFmtId="0" fontId="0" fillId="0" borderId="24" xfId="0" applyBorder="1">
      <alignment vertical="top"/>
    </xf>
    <xf numFmtId="0" fontId="2" fillId="0" borderId="0" xfId="0" applyFont="1" applyAlignment="1">
      <alignment vertical="top" wrapText="1" readingOrder="1"/>
    </xf>
    <xf numFmtId="0" fontId="0" fillId="5" borderId="0" xfId="0" applyFill="1">
      <alignment vertical="top"/>
    </xf>
    <xf numFmtId="0" fontId="0" fillId="0" borderId="25" xfId="0" applyBorder="1">
      <alignment vertical="top"/>
    </xf>
    <xf numFmtId="0" fontId="2" fillId="0" borderId="25" xfId="0" applyFont="1" applyBorder="1" applyAlignment="1">
      <alignment vertical="center" wrapText="1" readingOrder="1"/>
    </xf>
    <xf numFmtId="0" fontId="2" fillId="0" borderId="7" xfId="0" applyFont="1" applyBorder="1" applyAlignment="1">
      <alignment vertical="center" wrapText="1" readingOrder="1"/>
    </xf>
    <xf numFmtId="0" fontId="2" fillId="0" borderId="9" xfId="0" applyFont="1" applyBorder="1" applyAlignment="1">
      <alignment vertical="center" wrapText="1" readingOrder="1"/>
    </xf>
    <xf numFmtId="0" fontId="35" fillId="0" borderId="0" xfId="0" applyFont="1">
      <alignment vertical="top"/>
    </xf>
    <xf numFmtId="0" fontId="0" fillId="5" borderId="0" xfId="0" applyFill="1" applyAlignment="1">
      <alignment horizontal="center" vertical="top"/>
    </xf>
    <xf numFmtId="0" fontId="9" fillId="0" borderId="8" xfId="0" applyFont="1" applyBorder="1" applyAlignment="1">
      <alignment horizontal="center" vertical="top" wrapText="1" readingOrder="1"/>
    </xf>
    <xf numFmtId="0" fontId="9" fillId="0" borderId="1" xfId="0" applyFont="1" applyBorder="1" applyAlignment="1">
      <alignment horizontal="center" vertical="top" wrapText="1" readingOrder="1"/>
    </xf>
    <xf numFmtId="0" fontId="9" fillId="0" borderId="9" xfId="0" applyFont="1" applyBorder="1" applyAlignment="1">
      <alignment horizontal="center" vertical="top" wrapText="1" readingOrder="1"/>
    </xf>
    <xf numFmtId="0" fontId="2" fillId="4" borderId="0" xfId="0" applyFont="1" applyFill="1" applyAlignment="1">
      <alignment horizontal="left" vertical="top" wrapText="1" readingOrder="1"/>
    </xf>
    <xf numFmtId="0" fontId="2" fillId="0" borderId="1" xfId="0" applyFont="1" applyBorder="1" applyAlignment="1">
      <alignment horizontal="left" vertical="top" wrapText="1" indent="1" readingOrder="1"/>
    </xf>
    <xf numFmtId="0" fontId="7" fillId="0" borderId="0" xfId="0" applyFont="1" applyAlignment="1">
      <alignment horizontal="left" vertical="center" wrapText="1" readingOrder="1"/>
    </xf>
    <xf numFmtId="0" fontId="2" fillId="0" borderId="15" xfId="0" applyFont="1" applyBorder="1" applyAlignment="1">
      <alignment horizontal="center" vertical="center" wrapText="1" readingOrder="1"/>
    </xf>
    <xf numFmtId="0" fontId="2" fillId="0" borderId="24" xfId="0" applyFont="1" applyBorder="1" applyAlignment="1">
      <alignment horizontal="center" vertical="center" wrapText="1" readingOrder="1"/>
    </xf>
    <xf numFmtId="0" fontId="2" fillId="0" borderId="0" xfId="0" applyFont="1" applyAlignment="1">
      <alignment horizontal="left" vertical="top" wrapText="1" readingOrder="1"/>
    </xf>
    <xf numFmtId="0" fontId="2" fillId="0" borderId="6" xfId="0" applyFont="1" applyBorder="1" applyAlignment="1">
      <alignment horizontal="left" vertical="top" readingOrder="1"/>
    </xf>
    <xf numFmtId="0" fontId="2" fillId="0" borderId="0" xfId="0" applyFont="1" applyAlignment="1">
      <alignment horizontal="left" vertical="top" readingOrder="1"/>
    </xf>
    <xf numFmtId="0" fontId="2" fillId="0" borderId="6" xfId="0" applyFont="1" applyBorder="1" applyAlignment="1">
      <alignment horizontal="left" vertical="top" wrapText="1" readingOrder="1"/>
    </xf>
    <xf numFmtId="0" fontId="0" fillId="5" borderId="0" xfId="0" applyFill="1" applyAlignment="1">
      <alignment horizontal="left" vertical="top"/>
    </xf>
    <xf numFmtId="0" fontId="2" fillId="0" borderId="6" xfId="0" applyFont="1" applyBorder="1" applyAlignment="1">
      <alignment horizontal="left" vertical="center" wrapText="1" readingOrder="1"/>
    </xf>
    <xf numFmtId="0" fontId="2" fillId="0" borderId="0" xfId="0" applyFont="1" applyAlignment="1">
      <alignment horizontal="left" vertical="center" wrapText="1" readingOrder="1"/>
    </xf>
    <xf numFmtId="176" fontId="7" fillId="0" borderId="17" xfId="0" applyNumberFormat="1" applyFont="1" applyBorder="1" applyAlignment="1">
      <alignment horizontal="center" vertical="center" wrapText="1" readingOrder="1"/>
    </xf>
    <xf numFmtId="176" fontId="7" fillId="0" borderId="18" xfId="0" applyNumberFormat="1" applyFont="1" applyBorder="1" applyAlignment="1">
      <alignment horizontal="center" vertical="center" wrapText="1" readingOrder="1"/>
    </xf>
    <xf numFmtId="176" fontId="34" fillId="0" borderId="18" xfId="0" applyNumberFormat="1" applyFont="1" applyBorder="1" applyAlignment="1">
      <alignment horizontal="left" vertical="center" wrapText="1" readingOrder="1"/>
    </xf>
    <xf numFmtId="176" fontId="34" fillId="0" borderId="19" xfId="0" applyNumberFormat="1" applyFont="1" applyBorder="1" applyAlignment="1">
      <alignment horizontal="left" vertical="center" wrapText="1" readingOrder="1"/>
    </xf>
    <xf numFmtId="0" fontId="2" fillId="0" borderId="1" xfId="0" applyFont="1" applyBorder="1" applyAlignment="1">
      <alignment horizontal="left" vertical="center" wrapText="1" readingOrder="1"/>
    </xf>
    <xf numFmtId="0" fontId="7" fillId="0" borderId="14" xfId="0" applyFont="1" applyBorder="1" applyAlignment="1">
      <alignment horizontal="center" wrapText="1" readingOrder="1"/>
    </xf>
    <xf numFmtId="0" fontId="7" fillId="0" borderId="15" xfId="0" applyFont="1" applyBorder="1" applyAlignment="1">
      <alignment horizontal="center" wrapText="1" readingOrder="1"/>
    </xf>
    <xf numFmtId="0" fontId="7" fillId="0" borderId="16" xfId="0" applyFont="1" applyBorder="1" applyAlignment="1">
      <alignment horizontal="center" wrapText="1" readingOrder="1"/>
    </xf>
    <xf numFmtId="0" fontId="7" fillId="0" borderId="6" xfId="0" applyFont="1" applyBorder="1" applyAlignment="1">
      <alignment horizontal="center" wrapText="1" readingOrder="1"/>
    </xf>
    <xf numFmtId="0" fontId="7" fillId="0" borderId="0" xfId="0" applyFont="1" applyAlignment="1">
      <alignment horizontal="center" wrapText="1" readingOrder="1"/>
    </xf>
    <xf numFmtId="0" fontId="7" fillId="0" borderId="7" xfId="0" applyFont="1" applyBorder="1" applyAlignment="1">
      <alignment horizontal="center" wrapText="1" readingOrder="1"/>
    </xf>
    <xf numFmtId="0" fontId="9" fillId="0" borderId="6" xfId="0" applyFont="1" applyBorder="1" applyAlignment="1">
      <alignment horizontal="center" vertical="center" wrapText="1" readingOrder="1"/>
    </xf>
    <xf numFmtId="0" fontId="9" fillId="0" borderId="0" xfId="0" applyFont="1" applyAlignment="1">
      <alignment horizontal="center" vertical="center" wrapText="1" readingOrder="1"/>
    </xf>
    <xf numFmtId="0" fontId="9" fillId="0" borderId="7" xfId="0" applyFont="1" applyBorder="1" applyAlignment="1">
      <alignment horizontal="center" vertical="center" wrapText="1" readingOrder="1"/>
    </xf>
    <xf numFmtId="0" fontId="9" fillId="0" borderId="8" xfId="0" applyFont="1" applyBorder="1" applyAlignment="1">
      <alignment horizontal="center" vertical="center" wrapText="1" readingOrder="1"/>
    </xf>
    <xf numFmtId="0" fontId="9" fillId="0" borderId="1" xfId="0" applyFont="1" applyBorder="1" applyAlignment="1">
      <alignment horizontal="center" vertical="center" wrapText="1" readingOrder="1"/>
    </xf>
    <xf numFmtId="0" fontId="9" fillId="0" borderId="9" xfId="0" applyFont="1" applyBorder="1" applyAlignment="1">
      <alignment horizontal="center" vertical="center" wrapText="1" readingOrder="1"/>
    </xf>
    <xf numFmtId="0" fontId="7" fillId="3" borderId="3" xfId="0" applyFont="1" applyFill="1" applyBorder="1" applyAlignment="1">
      <alignment horizontal="center" vertical="center" wrapText="1" readingOrder="1"/>
    </xf>
    <xf numFmtId="0" fontId="7" fillId="3" borderId="4" xfId="0" applyFont="1" applyFill="1" applyBorder="1" applyAlignment="1">
      <alignment horizontal="center" vertical="center" wrapText="1" readingOrder="1"/>
    </xf>
    <xf numFmtId="0" fontId="7" fillId="3" borderId="5" xfId="0" applyFont="1" applyFill="1" applyBorder="1" applyAlignment="1">
      <alignment horizontal="center" vertical="center" wrapText="1" readingOrder="1"/>
    </xf>
    <xf numFmtId="0" fontId="7" fillId="3" borderId="6" xfId="0" applyFont="1" applyFill="1" applyBorder="1" applyAlignment="1">
      <alignment horizontal="center" vertical="center" wrapText="1" readingOrder="1"/>
    </xf>
    <xf numFmtId="0" fontId="7" fillId="3" borderId="0" xfId="0" applyFont="1" applyFill="1" applyAlignment="1">
      <alignment horizontal="center" vertical="center" wrapText="1" readingOrder="1"/>
    </xf>
    <xf numFmtId="0" fontId="7" fillId="3" borderId="7" xfId="0" applyFont="1" applyFill="1" applyBorder="1" applyAlignment="1">
      <alignment horizontal="center" vertical="center" wrapText="1" readingOrder="1"/>
    </xf>
    <xf numFmtId="0" fontId="7" fillId="3" borderId="8" xfId="0" applyFont="1" applyFill="1" applyBorder="1" applyAlignment="1">
      <alignment horizontal="center" vertical="center" wrapText="1" readingOrder="1"/>
    </xf>
    <xf numFmtId="0" fontId="7" fillId="3" borderId="1" xfId="0" applyFont="1" applyFill="1" applyBorder="1" applyAlignment="1">
      <alignment horizontal="center" vertical="center" wrapText="1" readingOrder="1"/>
    </xf>
    <xf numFmtId="0" fontId="7" fillId="3" borderId="9" xfId="0" applyFont="1" applyFill="1" applyBorder="1" applyAlignment="1">
      <alignment horizontal="center" vertical="center" wrapText="1" readingOrder="1"/>
    </xf>
    <xf numFmtId="0" fontId="2" fillId="0" borderId="6" xfId="0" applyFont="1" applyBorder="1" applyAlignment="1">
      <alignment horizontal="left" vertical="center" readingOrder="1"/>
    </xf>
    <xf numFmtId="0" fontId="2" fillId="0" borderId="0" xfId="0" applyFont="1" applyAlignment="1">
      <alignment horizontal="left" vertical="center" readingOrder="1"/>
    </xf>
    <xf numFmtId="0" fontId="7" fillId="3" borderId="6" xfId="0" applyFont="1" applyFill="1" applyBorder="1" applyAlignment="1">
      <alignment horizontal="center" vertical="top" wrapText="1" readingOrder="1"/>
    </xf>
    <xf numFmtId="0" fontId="7" fillId="3" borderId="0" xfId="0" applyFont="1" applyFill="1" applyAlignment="1">
      <alignment horizontal="center" vertical="top" wrapText="1" readingOrder="1"/>
    </xf>
    <xf numFmtId="0" fontId="7" fillId="0" borderId="14" xfId="0" applyFont="1" applyBorder="1" applyAlignment="1">
      <alignment horizontal="center" vertical="center" wrapText="1" readingOrder="1"/>
    </xf>
    <xf numFmtId="0" fontId="7" fillId="0" borderId="15" xfId="0" applyFont="1" applyBorder="1" applyAlignment="1">
      <alignment horizontal="center" vertical="center" wrapText="1" readingOrder="1"/>
    </xf>
    <xf numFmtId="0" fontId="7" fillId="0" borderId="16" xfId="0" applyFont="1" applyBorder="1" applyAlignment="1">
      <alignment horizontal="center" vertical="center" wrapText="1" readingOrder="1"/>
    </xf>
    <xf numFmtId="0" fontId="7" fillId="0" borderId="6" xfId="0" applyFont="1" applyBorder="1" applyAlignment="1">
      <alignment horizontal="center" vertical="center" wrapText="1" readingOrder="1"/>
    </xf>
    <xf numFmtId="0" fontId="7" fillId="0" borderId="0" xfId="0" applyFont="1" applyAlignment="1">
      <alignment horizontal="center" vertical="center" wrapText="1" readingOrder="1"/>
    </xf>
    <xf numFmtId="0" fontId="7" fillId="0" borderId="7" xfId="0" applyFont="1" applyBorder="1" applyAlignment="1">
      <alignment horizontal="center" vertical="center" wrapText="1" readingOrder="1"/>
    </xf>
    <xf numFmtId="0" fontId="7" fillId="0" borderId="8" xfId="0" applyFont="1" applyBorder="1" applyAlignment="1">
      <alignment horizontal="center" vertical="center" wrapText="1" readingOrder="1"/>
    </xf>
    <xf numFmtId="0" fontId="7" fillId="0" borderId="1" xfId="0" applyFont="1" applyBorder="1" applyAlignment="1">
      <alignment horizontal="center" vertical="center" wrapText="1" readingOrder="1"/>
    </xf>
    <xf numFmtId="0" fontId="7" fillId="0" borderId="9" xfId="0" applyFont="1" applyBorder="1" applyAlignment="1">
      <alignment horizontal="center" vertical="center" wrapText="1" readingOrder="1"/>
    </xf>
    <xf numFmtId="0" fontId="2" fillId="0" borderId="7" xfId="0" applyFont="1" applyBorder="1" applyAlignment="1">
      <alignment horizontal="left" vertical="center" wrapText="1" readingOrder="1"/>
    </xf>
    <xf numFmtId="0" fontId="2" fillId="0" borderId="6" xfId="0" applyFont="1" applyBorder="1" applyAlignment="1">
      <alignment horizontal="left" vertical="center" wrapText="1" indent="1" readingOrder="1"/>
    </xf>
    <xf numFmtId="0" fontId="2" fillId="0" borderId="0" xfId="0" applyFont="1" applyAlignment="1">
      <alignment horizontal="left" vertical="center" wrapText="1" indent="1" readingOrder="1"/>
    </xf>
    <xf numFmtId="0" fontId="2" fillId="0" borderId="7" xfId="0" applyFont="1" applyBorder="1" applyAlignment="1">
      <alignment horizontal="left" vertical="center" wrapText="1" indent="1" readingOrder="1"/>
    </xf>
    <xf numFmtId="0" fontId="2" fillId="0" borderId="8" xfId="0" applyFont="1" applyBorder="1" applyAlignment="1">
      <alignment horizontal="left" vertical="center" wrapText="1" indent="1" readingOrder="1"/>
    </xf>
    <xf numFmtId="0" fontId="2" fillId="0" borderId="1" xfId="0" applyFont="1" applyBorder="1" applyAlignment="1">
      <alignment horizontal="left" vertical="center" wrapText="1" indent="1" readingOrder="1"/>
    </xf>
    <xf numFmtId="0" fontId="2" fillId="0" borderId="9" xfId="0" applyFont="1" applyBorder="1" applyAlignment="1">
      <alignment horizontal="left" vertical="center" wrapText="1" indent="1" readingOrder="1"/>
    </xf>
    <xf numFmtId="0" fontId="3" fillId="0" borderId="0" xfId="0" applyFont="1" applyAlignment="1">
      <alignment horizontal="left" vertical="center" wrapText="1" readingOrder="1"/>
    </xf>
    <xf numFmtId="0" fontId="3" fillId="0" borderId="7" xfId="0" applyFont="1" applyBorder="1" applyAlignment="1">
      <alignment horizontal="left" vertical="center" wrapText="1" readingOrder="1"/>
    </xf>
    <xf numFmtId="5" fontId="7" fillId="0" borderId="17" xfId="0" applyNumberFormat="1" applyFont="1" applyBorder="1" applyAlignment="1">
      <alignment horizontal="center" vertical="center" wrapText="1" readingOrder="1"/>
    </xf>
    <xf numFmtId="5" fontId="7" fillId="0" borderId="18" xfId="0" applyNumberFormat="1" applyFont="1" applyBorder="1" applyAlignment="1">
      <alignment horizontal="center" vertical="center" wrapText="1" readingOrder="1"/>
    </xf>
    <xf numFmtId="176" fontId="34" fillId="0" borderId="18" xfId="0" applyNumberFormat="1" applyFont="1" applyBorder="1" applyAlignment="1">
      <alignment horizontal="left" vertical="center" readingOrder="1"/>
    </xf>
    <xf numFmtId="5" fontId="34" fillId="0" borderId="18" xfId="0" applyNumberFormat="1" applyFont="1" applyBorder="1" applyAlignment="1">
      <alignment horizontal="left" vertical="center" wrapText="1" readingOrder="1"/>
    </xf>
    <xf numFmtId="5" fontId="34" fillId="0" borderId="19" xfId="0" applyNumberFormat="1" applyFont="1" applyBorder="1" applyAlignment="1">
      <alignment horizontal="left" vertical="center" wrapText="1" readingOrder="1"/>
    </xf>
    <xf numFmtId="0" fontId="7" fillId="3" borderId="2" xfId="0" applyFont="1" applyFill="1" applyBorder="1" applyAlignment="1">
      <alignment horizontal="center" vertical="center" wrapText="1" readingOrder="1"/>
    </xf>
    <xf numFmtId="0" fontId="3" fillId="4" borderId="2" xfId="0" applyFont="1" applyFill="1" applyBorder="1" applyAlignment="1">
      <alignment horizontal="center" vertical="center" wrapText="1" readingOrder="1"/>
    </xf>
    <xf numFmtId="0" fontId="3" fillId="0" borderId="0" xfId="0" applyFont="1" applyAlignment="1">
      <alignment horizontal="center" vertical="center" wrapText="1" readingOrder="1"/>
    </xf>
    <xf numFmtId="0" fontId="7" fillId="3" borderId="11" xfId="0" applyFont="1" applyFill="1" applyBorder="1" applyAlignment="1">
      <alignment horizontal="center" vertical="center" wrapText="1" readingOrder="1"/>
    </xf>
    <xf numFmtId="0" fontId="7" fillId="3" borderId="12" xfId="0" applyFont="1" applyFill="1" applyBorder="1" applyAlignment="1">
      <alignment horizontal="center" vertical="center" wrapText="1" readingOrder="1"/>
    </xf>
    <xf numFmtId="0" fontId="7" fillId="3" borderId="13" xfId="0" applyFont="1" applyFill="1" applyBorder="1" applyAlignment="1">
      <alignment horizontal="center" vertical="center" wrapText="1" readingOrder="1"/>
    </xf>
    <xf numFmtId="0" fontId="3" fillId="4" borderId="11" xfId="0" applyFont="1" applyFill="1" applyBorder="1" applyAlignment="1">
      <alignment horizontal="center" vertical="center" wrapText="1" readingOrder="1"/>
    </xf>
    <xf numFmtId="0" fontId="3" fillId="4" borderId="12" xfId="0" applyFont="1" applyFill="1" applyBorder="1" applyAlignment="1">
      <alignment horizontal="center" vertical="center" wrapText="1" readingOrder="1"/>
    </xf>
    <xf numFmtId="0" fontId="3" fillId="4" borderId="13" xfId="0" applyFont="1" applyFill="1" applyBorder="1" applyAlignment="1">
      <alignment horizontal="center" vertical="center" wrapText="1" readingOrder="1"/>
    </xf>
    <xf numFmtId="0" fontId="3" fillId="4" borderId="14" xfId="0" applyFont="1" applyFill="1" applyBorder="1" applyAlignment="1">
      <alignment horizontal="center" vertical="center" wrapText="1" readingOrder="1"/>
    </xf>
    <xf numFmtId="0" fontId="3" fillId="4" borderId="15" xfId="0" applyFont="1" applyFill="1" applyBorder="1" applyAlignment="1">
      <alignment horizontal="center" vertical="center" wrapText="1" readingOrder="1"/>
    </xf>
    <xf numFmtId="0" fontId="3" fillId="4" borderId="16" xfId="0" applyFont="1" applyFill="1" applyBorder="1" applyAlignment="1">
      <alignment horizontal="center" vertical="center" wrapText="1" readingOrder="1"/>
    </xf>
    <xf numFmtId="0" fontId="3" fillId="4" borderId="8" xfId="0" applyFont="1" applyFill="1" applyBorder="1" applyAlignment="1">
      <alignment horizontal="center" vertical="center" wrapText="1" readingOrder="1"/>
    </xf>
    <xf numFmtId="0" fontId="3" fillId="4" borderId="1" xfId="0" applyFont="1" applyFill="1" applyBorder="1" applyAlignment="1">
      <alignment horizontal="center" vertical="center" wrapText="1" readingOrder="1"/>
    </xf>
    <xf numFmtId="0" fontId="3" fillId="4" borderId="9" xfId="0" applyFont="1" applyFill="1" applyBorder="1" applyAlignment="1">
      <alignment horizontal="center" vertical="center" wrapText="1" readingOrder="1"/>
    </xf>
    <xf numFmtId="0" fontId="32" fillId="4" borderId="6" xfId="0" applyFont="1" applyFill="1" applyBorder="1" applyAlignment="1">
      <alignment horizontal="center" vertical="center" wrapText="1" readingOrder="1"/>
    </xf>
    <xf numFmtId="0" fontId="32" fillId="4" borderId="0" xfId="0" applyFont="1" applyFill="1" applyAlignment="1">
      <alignment horizontal="center" vertical="center" wrapText="1" readingOrder="1"/>
    </xf>
    <xf numFmtId="0" fontId="32" fillId="4" borderId="7" xfId="0" applyFont="1" applyFill="1" applyBorder="1" applyAlignment="1">
      <alignment horizontal="center" vertical="center" wrapText="1" readingOrder="1"/>
    </xf>
    <xf numFmtId="0" fontId="3" fillId="0" borderId="6" xfId="0" applyFont="1" applyBorder="1" applyAlignment="1">
      <alignment horizontal="center" vertical="center" wrapText="1" readingOrder="1"/>
    </xf>
    <xf numFmtId="0" fontId="3" fillId="0" borderId="7" xfId="0" applyFont="1" applyBorder="1" applyAlignment="1">
      <alignment horizontal="center" vertical="center" wrapText="1" readingOrder="1"/>
    </xf>
    <xf numFmtId="0" fontId="3" fillId="0" borderId="8" xfId="0" applyFont="1" applyBorder="1" applyAlignment="1">
      <alignment horizontal="center" vertical="center" wrapText="1" readingOrder="1"/>
    </xf>
    <xf numFmtId="0" fontId="3" fillId="0" borderId="1" xfId="0" applyFont="1" applyBorder="1" applyAlignment="1">
      <alignment horizontal="center" vertical="center" wrapText="1" readingOrder="1"/>
    </xf>
    <xf numFmtId="0" fontId="3" fillId="0" borderId="9" xfId="0" applyFont="1" applyBorder="1" applyAlignment="1">
      <alignment horizontal="center" vertical="center" wrapText="1" readingOrder="1"/>
    </xf>
    <xf numFmtId="0" fontId="2" fillId="0" borderId="17" xfId="0" applyFont="1" applyBorder="1" applyAlignment="1">
      <alignment horizontal="center" vertical="center" wrapText="1" readingOrder="1"/>
    </xf>
    <xf numFmtId="0" fontId="2" fillId="0" borderId="18" xfId="0" applyFont="1" applyBorder="1" applyAlignment="1">
      <alignment horizontal="center" vertical="center" wrapText="1" readingOrder="1"/>
    </xf>
    <xf numFmtId="0" fontId="2" fillId="0" borderId="19" xfId="0" applyFont="1" applyBorder="1" applyAlignment="1">
      <alignment horizontal="center" vertical="center" wrapText="1" readingOrder="1"/>
    </xf>
    <xf numFmtId="0" fontId="7" fillId="3" borderId="14" xfId="0" applyFont="1" applyFill="1" applyBorder="1" applyAlignment="1">
      <alignment horizontal="center" vertical="center" wrapText="1" readingOrder="1"/>
    </xf>
    <xf numFmtId="0" fontId="7" fillId="3" borderId="15" xfId="0" applyFont="1" applyFill="1" applyBorder="1" applyAlignment="1">
      <alignment horizontal="center" vertical="center" wrapText="1" readingOrder="1"/>
    </xf>
    <xf numFmtId="0" fontId="7" fillId="3" borderId="16" xfId="0" applyFont="1" applyFill="1" applyBorder="1" applyAlignment="1">
      <alignment horizontal="center" vertical="center" wrapText="1" readingOrder="1"/>
    </xf>
    <xf numFmtId="0" fontId="7" fillId="0" borderId="24" xfId="0" applyFont="1" applyBorder="1" applyAlignment="1">
      <alignment horizontal="center" vertical="center" wrapText="1" readingOrder="1"/>
    </xf>
    <xf numFmtId="0" fontId="3" fillId="0" borderId="24" xfId="0" applyFont="1" applyBorder="1" applyAlignment="1">
      <alignment horizontal="center" vertical="center" wrapText="1" readingOrder="1"/>
    </xf>
    <xf numFmtId="31" fontId="2" fillId="0" borderId="0" xfId="0" applyNumberFormat="1" applyFont="1" applyAlignment="1">
      <alignment horizontal="right" vertical="top"/>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2" fillId="0" borderId="0" xfId="0" applyFont="1" applyAlignment="1">
      <alignment vertical="top" wrapText="1"/>
    </xf>
    <xf numFmtId="0" fontId="3" fillId="0" borderId="2" xfId="0" applyFont="1" applyBorder="1" applyAlignment="1">
      <alignment horizontal="center" vertical="center" wrapText="1" readingOrder="1"/>
    </xf>
    <xf numFmtId="0" fontId="5" fillId="0" borderId="0" xfId="0" applyFont="1" applyAlignment="1">
      <alignment horizontal="center" vertical="center" wrapText="1" readingOrder="1"/>
    </xf>
    <xf numFmtId="0" fontId="33" fillId="0" borderId="0" xfId="0" applyFont="1" applyAlignment="1">
      <alignment horizontal="left" vertical="top"/>
    </xf>
    <xf numFmtId="0" fontId="33" fillId="0" borderId="0" xfId="0" applyFont="1" applyAlignment="1">
      <alignment horizontal="left" vertical="top" wrapText="1"/>
    </xf>
    <xf numFmtId="0" fontId="2" fillId="0" borderId="0" xfId="0" applyFont="1" applyAlignment="1">
      <alignment horizontal="left" vertical="top"/>
    </xf>
    <xf numFmtId="0" fontId="2" fillId="4" borderId="0" xfId="0" applyFont="1" applyFill="1" applyAlignment="1">
      <alignment horizontal="left" vertical="center" wrapText="1" readingOrder="1"/>
    </xf>
    <xf numFmtId="0" fontId="7" fillId="3" borderId="10" xfId="0" applyFont="1" applyFill="1" applyBorder="1" applyAlignment="1">
      <alignment horizontal="center" vertical="center" wrapText="1" readingOrder="1"/>
    </xf>
    <xf numFmtId="0" fontId="16" fillId="2" borderId="0" xfId="0" applyFont="1" applyFill="1" applyAlignment="1">
      <alignment horizontal="center" vertical="center" wrapText="1" readingOrder="1"/>
    </xf>
    <xf numFmtId="0" fontId="3" fillId="0" borderId="17" xfId="0" applyFont="1" applyBorder="1" applyAlignment="1">
      <alignment horizontal="center" vertical="center" wrapText="1" readingOrder="1"/>
    </xf>
    <xf numFmtId="0" fontId="3" fillId="0" borderId="18" xfId="0" applyFont="1" applyBorder="1" applyAlignment="1">
      <alignment horizontal="center" vertical="center" wrapText="1" readingOrder="1"/>
    </xf>
    <xf numFmtId="0" fontId="3" fillId="0" borderId="19" xfId="0" applyFont="1" applyBorder="1" applyAlignment="1">
      <alignment horizontal="center" vertical="center" wrapText="1" readingOrder="1"/>
    </xf>
    <xf numFmtId="0" fontId="2" fillId="0" borderId="2" xfId="0" applyFont="1" applyBorder="1" applyAlignment="1">
      <alignment horizontal="center" vertical="center" wrapText="1" readingOrder="1"/>
    </xf>
    <xf numFmtId="0" fontId="2" fillId="0" borderId="12" xfId="0" applyFont="1" applyBorder="1" applyAlignment="1">
      <alignment horizontal="center" vertical="center" wrapText="1" readingOrder="1"/>
    </xf>
    <xf numFmtId="0" fontId="2" fillId="0" borderId="13" xfId="0" applyFont="1" applyBorder="1" applyAlignment="1">
      <alignment horizontal="center" vertical="center" wrapText="1" readingOrder="1"/>
    </xf>
    <xf numFmtId="0" fontId="6" fillId="0" borderId="0" xfId="0" applyFont="1" applyAlignment="1">
      <alignment horizontal="left" vertical="center" wrapText="1" readingOrder="1"/>
    </xf>
    <xf numFmtId="0" fontId="2" fillId="0" borderId="20" xfId="0" applyFont="1" applyBorder="1" applyAlignment="1">
      <alignment horizontal="center" vertical="top"/>
    </xf>
    <xf numFmtId="0" fontId="2" fillId="0" borderId="21" xfId="0" applyFont="1" applyBorder="1" applyAlignment="1">
      <alignment horizontal="center" vertical="top"/>
    </xf>
    <xf numFmtId="0" fontId="2" fillId="0" borderId="22" xfId="0" applyFont="1" applyBorder="1" applyAlignment="1">
      <alignment horizontal="center" vertical="top"/>
    </xf>
    <xf numFmtId="0" fontId="3" fillId="0" borderId="14" xfId="0" applyFont="1" applyBorder="1" applyAlignment="1">
      <alignment horizontal="center" vertical="center" wrapText="1" readingOrder="1"/>
    </xf>
    <xf numFmtId="0" fontId="3" fillId="0" borderId="15" xfId="0" applyFont="1" applyBorder="1" applyAlignment="1">
      <alignment horizontal="center" vertical="center" wrapText="1" readingOrder="1"/>
    </xf>
    <xf numFmtId="0" fontId="3" fillId="0" borderId="16" xfId="0" applyFont="1" applyBorder="1" applyAlignment="1">
      <alignment horizontal="center" vertical="center" wrapText="1" readingOrder="1"/>
    </xf>
    <xf numFmtId="0" fontId="2" fillId="0" borderId="0" xfId="0" applyFont="1" applyAlignment="1">
      <alignment horizontal="center" vertical="center" wrapText="1" readingOrder="1"/>
    </xf>
    <xf numFmtId="0" fontId="2" fillId="0" borderId="0" xfId="0" applyFont="1" applyAlignment="1">
      <alignment horizontal="left" vertical="top" wrapText="1" indent="1" readingOrder="1"/>
    </xf>
    <xf numFmtId="0" fontId="7" fillId="7" borderId="2" xfId="0" applyFont="1" applyFill="1" applyBorder="1" applyAlignment="1">
      <alignment horizontal="center" vertical="center" wrapText="1" readingOrder="1"/>
    </xf>
  </cellXfs>
  <cellStyles count="3">
    <cellStyle name="ハイパーリンク" xfId="2" builtinId="8"/>
    <cellStyle name="標準" xfId="0" builtinId="0"/>
    <cellStyle name="標準 2" xfId="1" xr:uid="{00000000-0005-0000-0000-000002000000}"/>
  </cellStyles>
  <dxfs count="27">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C2C2C2"/>
      <rgbColor rgb="00EE6C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rgbColor rgb="00999999"/>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svg"/><Relationship Id="rId1" Type="http://schemas.openxmlformats.org/officeDocument/2006/relationships/image" Target="../media/image4.png"/><Relationship Id="rId4" Type="http://schemas.openxmlformats.org/officeDocument/2006/relationships/image" Target="../media/image7.sv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582930</xdr:colOff>
      <xdr:row>14</xdr:row>
      <xdr:rowOff>217170</xdr:rowOff>
    </xdr:from>
    <xdr:to>
      <xdr:col>9</xdr:col>
      <xdr:colOff>401955</xdr:colOff>
      <xdr:row>42</xdr:row>
      <xdr:rowOff>17850</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415540" y="672465"/>
          <a:ext cx="5301615" cy="4641285"/>
        </a:xfrm>
        <a:prstGeom prst="rect">
          <a:avLst/>
        </a:prstGeom>
      </xdr:spPr>
    </xdr:pic>
    <xdr:clientData/>
  </xdr:twoCellAnchor>
  <xdr:twoCellAnchor editAs="oneCell">
    <xdr:from>
      <xdr:col>0</xdr:col>
      <xdr:colOff>83820</xdr:colOff>
      <xdr:row>65</xdr:row>
      <xdr:rowOff>57151</xdr:rowOff>
    </xdr:from>
    <xdr:to>
      <xdr:col>10</xdr:col>
      <xdr:colOff>320040</xdr:colOff>
      <xdr:row>94</xdr:row>
      <xdr:rowOff>95884</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83820" y="11849101"/>
          <a:ext cx="6332220" cy="5003163"/>
        </a:xfrm>
        <a:prstGeom prst="rect">
          <a:avLst/>
        </a:prstGeom>
      </xdr:spPr>
    </xdr:pic>
    <xdr:clientData/>
  </xdr:twoCellAnchor>
  <xdr:twoCellAnchor editAs="oneCell">
    <xdr:from>
      <xdr:col>0</xdr:col>
      <xdr:colOff>0</xdr:colOff>
      <xdr:row>45</xdr:row>
      <xdr:rowOff>205740</xdr:rowOff>
    </xdr:from>
    <xdr:to>
      <xdr:col>9</xdr:col>
      <xdr:colOff>400050</xdr:colOff>
      <xdr:row>61</xdr:row>
      <xdr:rowOff>79660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0" y="8454390"/>
          <a:ext cx="5882640" cy="265522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2</xdr:col>
          <xdr:colOff>38100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1. 利用通知書印刷</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8965</xdr:colOff>
      <xdr:row>2</xdr:row>
      <xdr:rowOff>62583</xdr:rowOff>
    </xdr:from>
    <xdr:to>
      <xdr:col>31</xdr:col>
      <xdr:colOff>59839</xdr:colOff>
      <xdr:row>7</xdr:row>
      <xdr:rowOff>58707</xdr:rowOff>
    </xdr:to>
    <xdr:pic>
      <xdr:nvPicPr>
        <xdr:cNvPr id="5" name="グラフィックス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665694" y="313595"/>
          <a:ext cx="1577340" cy="395165"/>
        </a:xfrm>
        <a:prstGeom prst="rect">
          <a:avLst/>
        </a:prstGeom>
      </xdr:spPr>
    </xdr:pic>
    <xdr:clientData/>
  </xdr:twoCellAnchor>
  <xdr:twoCellAnchor editAs="oneCell">
    <xdr:from>
      <xdr:col>20</xdr:col>
      <xdr:colOff>68581</xdr:colOff>
      <xdr:row>122</xdr:row>
      <xdr:rowOff>29176</xdr:rowOff>
    </xdr:from>
    <xdr:to>
      <xdr:col>29</xdr:col>
      <xdr:colOff>72390</xdr:colOff>
      <xdr:row>122</xdr:row>
      <xdr:rowOff>152400</xdr:rowOff>
    </xdr:to>
    <xdr:pic>
      <xdr:nvPicPr>
        <xdr:cNvPr id="4" name="グラフィックス 3">
          <a:extLst>
            <a:ext uri="{FF2B5EF4-FFF2-40B4-BE49-F238E27FC236}">
              <a16:creationId xmlns:a16="http://schemas.microsoft.com/office/drawing/2014/main" id="{782957BE-8830-8B34-F734-E007D838A18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745481" y="22546276"/>
          <a:ext cx="1318259" cy="1232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20</xdr:col>
      <xdr:colOff>0</xdr:colOff>
      <xdr:row>101</xdr:row>
      <xdr:rowOff>0</xdr:rowOff>
    </xdr:from>
    <xdr:to>
      <xdr:col>26</xdr:col>
      <xdr:colOff>12065</xdr:colOff>
      <xdr:row>101</xdr:row>
      <xdr:rowOff>133350</xdr:rowOff>
    </xdr:to>
    <xdr:pic>
      <xdr:nvPicPr>
        <xdr:cNvPr id="2" name="Picture 1026">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86425" y="22269450"/>
          <a:ext cx="1200150" cy="129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7621</xdr:colOff>
      <xdr:row>0</xdr:row>
      <xdr:rowOff>0</xdr:rowOff>
    </xdr:from>
    <xdr:to>
      <xdr:col>33</xdr:col>
      <xdr:colOff>65488</xdr:colOff>
      <xdr:row>11</xdr:row>
      <xdr:rowOff>65405</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37861" y="0"/>
          <a:ext cx="1616792" cy="1143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20</xdr:col>
      <xdr:colOff>0</xdr:colOff>
      <xdr:row>101</xdr:row>
      <xdr:rowOff>0</xdr:rowOff>
    </xdr:from>
    <xdr:to>
      <xdr:col>26</xdr:col>
      <xdr:colOff>19050</xdr:colOff>
      <xdr:row>101</xdr:row>
      <xdr:rowOff>129540</xdr:rowOff>
    </xdr:to>
    <xdr:pic>
      <xdr:nvPicPr>
        <xdr:cNvPr id="2" name="Picture 1026">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86425" y="22269450"/>
          <a:ext cx="1200150" cy="129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259081</xdr:colOff>
      <xdr:row>2</xdr:row>
      <xdr:rowOff>60961</xdr:rowOff>
    </xdr:from>
    <xdr:to>
      <xdr:col>33</xdr:col>
      <xdr:colOff>91443</xdr:colOff>
      <xdr:row>7</xdr:row>
      <xdr:rowOff>15241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40681" y="304801"/>
          <a:ext cx="1943102" cy="381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 xr16:uid="{00000000-0016-0000-0000-000000000000}" autoFormatId="20" applyNumberFormats="0" applyBorderFormats="0" applyFontFormats="0" applyPatternFormats="0" applyAlignmentFormats="0" applyWidthHeightFormats="0">
  <queryTableRefresh nextId="36">
    <queryTableFields count="27">
      <queryTableField id="1" name="企業名/氏名" tableColumnId="1"/>
      <queryTableField id="2" name="電話番号" tableColumnId="2"/>
      <queryTableField id="3" name="個人企業/オーナー/顧客: 電話番号2" tableColumnId="3"/>
      <queryTableField id="4" name="個人企業/オーナー/顧客: メール" tableColumnId="4"/>
      <queryTableField id="5" name="サービス種別" tableColumnId="5"/>
      <queryTableField id="6" name="サービス名(通知用)" tableColumnId="6"/>
      <queryTableField id="7" name="ドメイン" tableColumnId="7"/>
      <queryTableField id="8" name="ユーザーID" tableColumnId="8"/>
      <queryTableField id="9" name="PW" tableColumnId="9"/>
      <queryTableField id="10" name="登録受付日" tableColumnId="10"/>
      <queryTableField id="11" name="部屋の物件名" tableColumnId="11"/>
      <queryTableField id="12" name="郵便番号" tableColumnId="12"/>
      <queryTableField id="13" name="部屋の住所" tableColumnId="13"/>
      <queryTableField id="14" name="号室" tableColumnId="14"/>
      <queryTableField id="15" name="入居者用Webサイト" tableColumnId="15"/>
      <queryTableField id="16" name="方式" tableColumnId="16"/>
      <queryTableField id="17" name="宅内最大速度" tableColumnId="17"/>
      <queryTableField id="18" name="保証金（非課税）.amount" tableColumnId="18"/>
      <queryTableField id="20" name="年払費用（10%税込）.amount" tableColumnId="20"/>
      <queryTableField id="23" name="初回2ヶ月分月払費用（10%税込）.amount" tableColumnId="23"/>
      <queryTableField id="25" name="月払引落費用（10%税込）.amount" tableColumnId="25"/>
      <queryTableField id="22" name="備考(利用通知)" tableColumnId="22"/>
      <queryTableField id="31" name="お客様番号" tableColumnId="27"/>
      <queryTableField id="32" name="24hサポート" tableColumnId="28"/>
      <queryTableField id="33" name="帳票種別" tableColumnId="19"/>
      <queryTableField id="34" name="支払方法" tableColumnId="21"/>
      <queryTableField id="35" name="ホームページスペースID" tableColumnId="2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SF_GIGA利用通知Data" displayName="SF_GIGA利用通知Data" ref="A1:AA11" tableType="queryTable" totalsRowShown="0">
  <autoFilter ref="A1:AA11" xr:uid="{00000000-0009-0000-0100-000003000000}"/>
  <tableColumns count="27">
    <tableColumn id="1" xr3:uid="{00000000-0010-0000-0000-000001000000}" uniqueName="1" name="企業名/氏名" queryTableFieldId="1" dataDxfId="26"/>
    <tableColumn id="2" xr3:uid="{00000000-0010-0000-0000-000002000000}" uniqueName="2" name="電話番号" queryTableFieldId="2" dataDxfId="25"/>
    <tableColumn id="3" xr3:uid="{00000000-0010-0000-0000-000003000000}" uniqueName="3" name="個人企業/オーナー/顧客: 電話番号2" queryTableFieldId="3" dataDxfId="24"/>
    <tableColumn id="4" xr3:uid="{00000000-0010-0000-0000-000004000000}" uniqueName="4" name="個人企業/オーナー/顧客: メール" queryTableFieldId="4" dataDxfId="23"/>
    <tableColumn id="5" xr3:uid="{00000000-0010-0000-0000-000005000000}" uniqueName="5" name="サービス種別" queryTableFieldId="5" dataDxfId="22"/>
    <tableColumn id="6" xr3:uid="{00000000-0010-0000-0000-000006000000}" uniqueName="6" name="サービス名(通知用)" queryTableFieldId="6" dataDxfId="21"/>
    <tableColumn id="7" xr3:uid="{00000000-0010-0000-0000-000007000000}" uniqueName="7" name="ドメイン" queryTableFieldId="7" dataDxfId="20"/>
    <tableColumn id="8" xr3:uid="{00000000-0010-0000-0000-000008000000}" uniqueName="8" name="ユーザーID" queryTableFieldId="8" dataDxfId="19"/>
    <tableColumn id="9" xr3:uid="{00000000-0010-0000-0000-000009000000}" uniqueName="9" name="PW" queryTableFieldId="9" dataDxfId="18"/>
    <tableColumn id="10" xr3:uid="{00000000-0010-0000-0000-00000A000000}" uniqueName="10" name="登録受付日" queryTableFieldId="10" dataDxfId="17"/>
    <tableColumn id="11" xr3:uid="{00000000-0010-0000-0000-00000B000000}" uniqueName="11" name="部屋の物件名" queryTableFieldId="11" dataDxfId="16"/>
    <tableColumn id="12" xr3:uid="{00000000-0010-0000-0000-00000C000000}" uniqueName="12" name="郵便番号" queryTableFieldId="12" dataDxfId="15"/>
    <tableColumn id="13" xr3:uid="{00000000-0010-0000-0000-00000D000000}" uniqueName="13" name="部屋の住所" queryTableFieldId="13" dataDxfId="14"/>
    <tableColumn id="14" xr3:uid="{00000000-0010-0000-0000-00000E000000}" uniqueName="14" name="号室" queryTableFieldId="14" dataDxfId="13"/>
    <tableColumn id="15" xr3:uid="{00000000-0010-0000-0000-00000F000000}" uniqueName="15" name="入居者用Webサイト" queryTableFieldId="15" dataDxfId="12"/>
    <tableColumn id="16" xr3:uid="{00000000-0010-0000-0000-000010000000}" uniqueName="16" name="方式" queryTableFieldId="16" dataDxfId="11"/>
    <tableColumn id="17" xr3:uid="{00000000-0010-0000-0000-000011000000}" uniqueName="17" name="宅内最大速度" queryTableFieldId="17" dataDxfId="10"/>
    <tableColumn id="18" xr3:uid="{00000000-0010-0000-0000-000012000000}" uniqueName="18" name="保証金（非課税）.amount" queryTableFieldId="18"/>
    <tableColumn id="20" xr3:uid="{00000000-0010-0000-0000-000014000000}" uniqueName="20" name="年払費用（10%税込）.amount" queryTableFieldId="20"/>
    <tableColumn id="23" xr3:uid="{FCE8191D-920A-4C0D-B7FA-5E64725E25BF}" uniqueName="23" name="初回2ヶ月分月払費用（10%税込）.amount" queryTableFieldId="23"/>
    <tableColumn id="25" xr3:uid="{9B263E14-DC85-4FB0-9E91-4AE2C17D695C}" uniqueName="25" name="月払引落費用（10%税込）.amount" queryTableFieldId="25"/>
    <tableColumn id="22" xr3:uid="{00000000-0010-0000-0000-000016000000}" uniqueName="22" name="備考(利用通知)" queryTableFieldId="22" dataDxfId="9"/>
    <tableColumn id="27" xr3:uid="{7FDCFF31-33AA-4F4C-BDB4-108B3D8E0067}" uniqueName="27" name="お客様番号" queryTableFieldId="31" dataDxfId="8"/>
    <tableColumn id="28" xr3:uid="{9ACA12B2-3AAB-445F-979D-3AE949290416}" uniqueName="28" name="24hサポート" queryTableFieldId="32"/>
    <tableColumn id="19" xr3:uid="{739A92C0-B596-43DA-8305-DD99C17E01C2}" uniqueName="19" name="帳票種別" queryTableFieldId="33" dataDxfId="7"/>
    <tableColumn id="21" xr3:uid="{C8E20417-F8DD-4D65-92D1-A1D2AD13BC31}" uniqueName="21" name="支払方法" queryTableFieldId="34" dataDxfId="6"/>
    <tableColumn id="24" xr3:uid="{F23A12C9-3921-4538-ADCB-BB9E4AA0E282}" uniqueName="24" name="ホームページスペースID" queryTableFieldId="35" dataDxfId="5"/>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4"/>
  <sheetViews>
    <sheetView workbookViewId="0">
      <selection activeCell="C15" sqref="C15"/>
    </sheetView>
  </sheetViews>
  <sheetFormatPr defaultRowHeight="13.2"/>
  <cols>
    <col min="1" max="1" width="15.109375" bestFit="1" customWidth="1"/>
    <col min="2" max="2" width="15" bestFit="1" customWidth="1"/>
    <col min="3" max="3" width="39" bestFit="1" customWidth="1"/>
    <col min="4" max="4" width="35.6640625" bestFit="1" customWidth="1"/>
    <col min="5" max="5" width="16.88671875" bestFit="1" customWidth="1"/>
    <col min="6" max="6" width="22.88671875" bestFit="1" customWidth="1"/>
    <col min="7" max="7" width="17.44140625" bestFit="1" customWidth="1"/>
    <col min="8" max="8" width="14.109375" bestFit="1" customWidth="1"/>
    <col min="9" max="9" width="10.44140625" bestFit="1" customWidth="1"/>
    <col min="10" max="10" width="14.5546875" bestFit="1" customWidth="1"/>
    <col min="11" max="11" width="37.77734375" bestFit="1" customWidth="1"/>
    <col min="12" max="12" width="12.21875" bestFit="1" customWidth="1"/>
    <col min="13" max="13" width="38" bestFit="1" customWidth="1"/>
    <col min="14" max="14" width="8" bestFit="1" customWidth="1"/>
    <col min="15" max="15" width="42" bestFit="1" customWidth="1"/>
    <col min="16" max="16" width="8" bestFit="1" customWidth="1"/>
    <col min="17" max="17" width="16.88671875" bestFit="1" customWidth="1"/>
    <col min="18" max="18" width="29.33203125" bestFit="1" customWidth="1"/>
    <col min="19" max="19" width="33.44140625" bestFit="1" customWidth="1"/>
    <col min="20" max="20" width="46.109375" bestFit="1" customWidth="1"/>
    <col min="21" max="21" width="38.109375" bestFit="1" customWidth="1"/>
    <col min="22" max="22" width="18.33203125" bestFit="1" customWidth="1"/>
    <col min="23" max="23" width="15.33203125" bestFit="1" customWidth="1"/>
    <col min="24" max="24" width="15.6640625" bestFit="1" customWidth="1"/>
    <col min="25" max="26" width="12.21875" bestFit="1" customWidth="1"/>
    <col min="27" max="27" width="28.109375" bestFit="1" customWidth="1"/>
    <col min="28" max="28" width="16.88671875" bestFit="1" customWidth="1"/>
  </cols>
  <sheetData>
    <row r="1" spans="1:27">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74</v>
      </c>
      <c r="U1" t="s">
        <v>75</v>
      </c>
      <c r="V1" t="s">
        <v>19</v>
      </c>
      <c r="W1" t="s">
        <v>20</v>
      </c>
      <c r="X1" t="s">
        <v>168</v>
      </c>
      <c r="Y1" t="s">
        <v>234</v>
      </c>
      <c r="Z1" t="s">
        <v>252</v>
      </c>
      <c r="AA1" t="s">
        <v>261</v>
      </c>
    </row>
    <row r="2" spans="1:27" ht="12.6" customHeight="1">
      <c r="A2" s="59"/>
      <c r="B2" s="59"/>
      <c r="D2" s="42"/>
      <c r="J2" s="5"/>
      <c r="L2" s="59"/>
      <c r="M2" s="32"/>
      <c r="Z2" s="59"/>
      <c r="AA2" s="59"/>
    </row>
    <row r="3" spans="1:27">
      <c r="D3" s="43"/>
      <c r="J3" s="5"/>
    </row>
    <row r="4" spans="1:27">
      <c r="J4" s="5"/>
    </row>
    <row r="5" spans="1:27">
      <c r="J5" s="5"/>
    </row>
    <row r="6" spans="1:27">
      <c r="J6" s="5"/>
    </row>
    <row r="7" spans="1:27">
      <c r="J7" s="5"/>
    </row>
    <row r="8" spans="1:27">
      <c r="J8" s="5"/>
    </row>
    <row r="9" spans="1:27">
      <c r="J9" s="5"/>
    </row>
    <row r="10" spans="1:27">
      <c r="J10" s="5"/>
    </row>
    <row r="11" spans="1:27">
      <c r="J11" s="5"/>
    </row>
    <row r="12" spans="1:27">
      <c r="D12" s="42"/>
      <c r="J12" s="5"/>
    </row>
    <row r="13" spans="1:27">
      <c r="J13" s="5"/>
    </row>
    <row r="14" spans="1:27">
      <c r="J14" s="5"/>
    </row>
  </sheetData>
  <phoneticPr fontId="10"/>
  <pageMargins left="0.11811023622047245" right="0" top="0.74803149606299213" bottom="0.74803149606299213" header="0.31496062992125984" footer="0.31496062992125984"/>
  <pageSetup paperSize="9" scale="7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54F78-4DB4-4428-B86B-3D654A3B0E27}">
  <sheetPr codeName="Sheet2"/>
  <dimension ref="A1:D63"/>
  <sheetViews>
    <sheetView workbookViewId="0"/>
  </sheetViews>
  <sheetFormatPr defaultRowHeight="18"/>
  <cols>
    <col min="1" max="2" width="8.88671875" style="7"/>
  </cols>
  <sheetData>
    <row r="1" spans="1:4">
      <c r="A1" s="6" t="s">
        <v>76</v>
      </c>
      <c r="B1" s="6" t="s">
        <v>77</v>
      </c>
    </row>
    <row r="2" spans="1:4">
      <c r="A2" s="27" t="s">
        <v>169</v>
      </c>
      <c r="B2" s="7" t="s">
        <v>149</v>
      </c>
      <c r="D2" s="7"/>
    </row>
    <row r="3" spans="1:4">
      <c r="A3" s="27" t="s">
        <v>170</v>
      </c>
      <c r="B3" s="7" t="s">
        <v>150</v>
      </c>
      <c r="D3" s="7"/>
    </row>
    <row r="4" spans="1:4">
      <c r="A4" s="27" t="s">
        <v>171</v>
      </c>
      <c r="B4" s="7" t="s">
        <v>151</v>
      </c>
      <c r="D4" s="7"/>
    </row>
    <row r="5" spans="1:4">
      <c r="A5" s="27" t="s">
        <v>172</v>
      </c>
      <c r="B5" s="7" t="s">
        <v>152</v>
      </c>
      <c r="D5" s="7"/>
    </row>
    <row r="6" spans="1:4">
      <c r="A6" s="27" t="s">
        <v>173</v>
      </c>
      <c r="B6" s="7" t="s">
        <v>153</v>
      </c>
      <c r="D6" s="7"/>
    </row>
    <row r="7" spans="1:4">
      <c r="A7" s="27" t="s">
        <v>174</v>
      </c>
      <c r="B7" s="7" t="s">
        <v>154</v>
      </c>
      <c r="D7" s="7"/>
    </row>
    <row r="8" spans="1:4">
      <c r="A8" s="27" t="s">
        <v>175</v>
      </c>
      <c r="B8" s="7" t="s">
        <v>155</v>
      </c>
      <c r="D8" s="7"/>
    </row>
    <row r="9" spans="1:4">
      <c r="A9" s="27" t="s">
        <v>176</v>
      </c>
      <c r="B9" s="7" t="s">
        <v>156</v>
      </c>
      <c r="D9" s="7"/>
    </row>
    <row r="10" spans="1:4">
      <c r="A10" s="27" t="s">
        <v>177</v>
      </c>
      <c r="B10" s="7" t="s">
        <v>157</v>
      </c>
      <c r="D10" s="7"/>
    </row>
    <row r="11" spans="1:4">
      <c r="A11" s="27" t="s">
        <v>178</v>
      </c>
      <c r="B11" s="7" t="s">
        <v>158</v>
      </c>
      <c r="D11" s="7"/>
    </row>
    <row r="12" spans="1:4">
      <c r="A12" s="7" t="s">
        <v>78</v>
      </c>
      <c r="B12" s="7" t="s">
        <v>124</v>
      </c>
    </row>
    <row r="13" spans="1:4">
      <c r="A13" s="7" t="s">
        <v>79</v>
      </c>
      <c r="B13" s="7" t="s">
        <v>125</v>
      </c>
    </row>
    <row r="14" spans="1:4">
      <c r="A14" s="7" t="s">
        <v>80</v>
      </c>
      <c r="B14" s="7" t="s">
        <v>126</v>
      </c>
    </row>
    <row r="15" spans="1:4">
      <c r="A15" s="7" t="s">
        <v>38</v>
      </c>
      <c r="B15" s="7" t="s">
        <v>127</v>
      </c>
    </row>
    <row r="16" spans="1:4">
      <c r="A16" s="7" t="s">
        <v>34</v>
      </c>
      <c r="B16" s="7" t="s">
        <v>128</v>
      </c>
    </row>
    <row r="17" spans="1:2">
      <c r="A17" s="7" t="s">
        <v>81</v>
      </c>
      <c r="B17" s="7" t="s">
        <v>129</v>
      </c>
    </row>
    <row r="18" spans="1:2">
      <c r="A18" s="7" t="s">
        <v>82</v>
      </c>
      <c r="B18" s="7" t="s">
        <v>130</v>
      </c>
    </row>
    <row r="19" spans="1:2">
      <c r="A19" s="7" t="s">
        <v>83</v>
      </c>
      <c r="B19" s="7" t="s">
        <v>131</v>
      </c>
    </row>
    <row r="20" spans="1:2">
      <c r="A20" s="7" t="s">
        <v>37</v>
      </c>
      <c r="B20" s="7" t="s">
        <v>132</v>
      </c>
    </row>
    <row r="21" spans="1:2">
      <c r="A21" s="7" t="s">
        <v>84</v>
      </c>
      <c r="B21" s="7" t="s">
        <v>133</v>
      </c>
    </row>
    <row r="22" spans="1:2">
      <c r="A22" s="7" t="s">
        <v>85</v>
      </c>
      <c r="B22" s="7" t="s">
        <v>134</v>
      </c>
    </row>
    <row r="23" spans="1:2">
      <c r="A23" s="7" t="s">
        <v>86</v>
      </c>
      <c r="B23" s="7" t="s">
        <v>135</v>
      </c>
    </row>
    <row r="24" spans="1:2">
      <c r="A24" s="7" t="s">
        <v>87</v>
      </c>
      <c r="B24" s="7" t="s">
        <v>136</v>
      </c>
    </row>
    <row r="25" spans="1:2">
      <c r="A25" s="7" t="s">
        <v>88</v>
      </c>
      <c r="B25" s="7" t="s">
        <v>137</v>
      </c>
    </row>
    <row r="26" spans="1:2">
      <c r="A26" s="7" t="s">
        <v>89</v>
      </c>
      <c r="B26" s="7" t="s">
        <v>138</v>
      </c>
    </row>
    <row r="27" spans="1:2">
      <c r="A27" s="7" t="s">
        <v>90</v>
      </c>
      <c r="B27" s="7" t="s">
        <v>139</v>
      </c>
    </row>
    <row r="28" spans="1:2">
      <c r="A28" s="7" t="s">
        <v>91</v>
      </c>
      <c r="B28" s="7" t="s">
        <v>140</v>
      </c>
    </row>
    <row r="29" spans="1:2">
      <c r="A29" s="7" t="s">
        <v>92</v>
      </c>
      <c r="B29" s="7" t="s">
        <v>141</v>
      </c>
    </row>
    <row r="30" spans="1:2">
      <c r="A30" s="7" t="s">
        <v>35</v>
      </c>
      <c r="B30" s="7" t="s">
        <v>142</v>
      </c>
    </row>
    <row r="31" spans="1:2">
      <c r="A31" s="7" t="s">
        <v>36</v>
      </c>
      <c r="B31" s="7" t="s">
        <v>143</v>
      </c>
    </row>
    <row r="32" spans="1:2">
      <c r="A32" s="7" t="s">
        <v>93</v>
      </c>
      <c r="B32" s="7" t="s">
        <v>144</v>
      </c>
    </row>
    <row r="33" spans="1:2">
      <c r="A33" s="7" t="s">
        <v>94</v>
      </c>
      <c r="B33" s="7" t="s">
        <v>145</v>
      </c>
    </row>
    <row r="34" spans="1:2">
      <c r="A34" s="7" t="s">
        <v>95</v>
      </c>
      <c r="B34" s="7" t="s">
        <v>146</v>
      </c>
    </row>
    <row r="35" spans="1:2">
      <c r="A35" s="7" t="s">
        <v>96</v>
      </c>
      <c r="B35" s="7" t="s">
        <v>39</v>
      </c>
    </row>
    <row r="36" spans="1:2">
      <c r="A36" s="7" t="s">
        <v>97</v>
      </c>
      <c r="B36" s="7" t="s">
        <v>147</v>
      </c>
    </row>
    <row r="37" spans="1:2">
      <c r="A37" s="7" t="s">
        <v>98</v>
      </c>
      <c r="B37" s="7" t="s">
        <v>148</v>
      </c>
    </row>
    <row r="38" spans="1:2">
      <c r="A38" s="7" t="s">
        <v>99</v>
      </c>
      <c r="B38" s="7" t="s">
        <v>124</v>
      </c>
    </row>
    <row r="39" spans="1:2">
      <c r="A39" s="7" t="s">
        <v>100</v>
      </c>
      <c r="B39" s="7" t="s">
        <v>125</v>
      </c>
    </row>
    <row r="40" spans="1:2">
      <c r="A40" s="7" t="s">
        <v>101</v>
      </c>
      <c r="B40" s="7" t="s">
        <v>126</v>
      </c>
    </row>
    <row r="41" spans="1:2">
      <c r="A41" s="7" t="s">
        <v>102</v>
      </c>
      <c r="B41" s="7" t="s">
        <v>127</v>
      </c>
    </row>
    <row r="42" spans="1:2">
      <c r="A42" s="7" t="s">
        <v>103</v>
      </c>
      <c r="B42" s="7" t="s">
        <v>128</v>
      </c>
    </row>
    <row r="43" spans="1:2">
      <c r="A43" s="7" t="s">
        <v>104</v>
      </c>
      <c r="B43" s="7" t="s">
        <v>129</v>
      </c>
    </row>
    <row r="44" spans="1:2">
      <c r="A44" s="7" t="s">
        <v>105</v>
      </c>
      <c r="B44" s="7" t="s">
        <v>130</v>
      </c>
    </row>
    <row r="45" spans="1:2">
      <c r="A45" s="7" t="s">
        <v>106</v>
      </c>
      <c r="B45" s="7" t="s">
        <v>131</v>
      </c>
    </row>
    <row r="46" spans="1:2">
      <c r="A46" s="7" t="s">
        <v>107</v>
      </c>
      <c r="B46" s="7" t="s">
        <v>132</v>
      </c>
    </row>
    <row r="47" spans="1:2">
      <c r="A47" s="7" t="s">
        <v>108</v>
      </c>
      <c r="B47" s="7" t="s">
        <v>133</v>
      </c>
    </row>
    <row r="48" spans="1:2">
      <c r="A48" s="7" t="s">
        <v>109</v>
      </c>
      <c r="B48" s="7" t="s">
        <v>134</v>
      </c>
    </row>
    <row r="49" spans="1:2">
      <c r="A49" s="7" t="s">
        <v>110</v>
      </c>
      <c r="B49" s="7" t="s">
        <v>135</v>
      </c>
    </row>
    <row r="50" spans="1:2">
      <c r="A50" s="7" t="s">
        <v>111</v>
      </c>
      <c r="B50" s="7" t="s">
        <v>136</v>
      </c>
    </row>
    <row r="51" spans="1:2">
      <c r="A51" s="7" t="s">
        <v>112</v>
      </c>
      <c r="B51" s="7" t="s">
        <v>137</v>
      </c>
    </row>
    <row r="52" spans="1:2">
      <c r="A52" s="7" t="s">
        <v>113</v>
      </c>
      <c r="B52" s="7" t="s">
        <v>138</v>
      </c>
    </row>
    <row r="53" spans="1:2">
      <c r="A53" s="7" t="s">
        <v>114</v>
      </c>
      <c r="B53" s="7" t="s">
        <v>139</v>
      </c>
    </row>
    <row r="54" spans="1:2">
      <c r="A54" s="7" t="s">
        <v>115</v>
      </c>
      <c r="B54" s="7" t="s">
        <v>140</v>
      </c>
    </row>
    <row r="55" spans="1:2">
      <c r="A55" s="7" t="s">
        <v>116</v>
      </c>
      <c r="B55" s="7" t="s">
        <v>141</v>
      </c>
    </row>
    <row r="56" spans="1:2">
      <c r="A56" s="7" t="s">
        <v>117</v>
      </c>
      <c r="B56" s="7" t="s">
        <v>142</v>
      </c>
    </row>
    <row r="57" spans="1:2">
      <c r="A57" s="7" t="s">
        <v>118</v>
      </c>
      <c r="B57" s="7" t="s">
        <v>143</v>
      </c>
    </row>
    <row r="58" spans="1:2">
      <c r="A58" s="7" t="s">
        <v>119</v>
      </c>
      <c r="B58" s="7" t="s">
        <v>144</v>
      </c>
    </row>
    <row r="59" spans="1:2">
      <c r="A59" s="7" t="s">
        <v>120</v>
      </c>
      <c r="B59" s="7" t="s">
        <v>145</v>
      </c>
    </row>
    <row r="60" spans="1:2">
      <c r="A60" s="7" t="s">
        <v>121</v>
      </c>
      <c r="B60" s="7" t="s">
        <v>146</v>
      </c>
    </row>
    <row r="61" spans="1:2">
      <c r="A61" s="7" t="s">
        <v>41</v>
      </c>
      <c r="B61" s="7" t="s">
        <v>39</v>
      </c>
    </row>
    <row r="62" spans="1:2">
      <c r="A62" s="7" t="s">
        <v>122</v>
      </c>
      <c r="B62" s="7" t="s">
        <v>147</v>
      </c>
    </row>
    <row r="63" spans="1:2">
      <c r="A63" s="7" t="s">
        <v>123</v>
      </c>
      <c r="B63" s="7" t="s">
        <v>148</v>
      </c>
    </row>
  </sheetData>
  <phoneticPr fontId="1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8D621-2801-4FB2-B5B1-656D24C15F66}">
  <sheetPr codeName="Sheet3"/>
  <dimension ref="A3:AE65"/>
  <sheetViews>
    <sheetView workbookViewId="0"/>
  </sheetViews>
  <sheetFormatPr defaultRowHeight="13.2"/>
  <cols>
    <col min="27" max="30" width="17.33203125" customWidth="1"/>
    <col min="31" max="31" width="24.109375" customWidth="1"/>
  </cols>
  <sheetData>
    <row r="3" spans="1:31" ht="21" customHeight="1">
      <c r="A3" s="41"/>
    </row>
    <row r="4" spans="1:31">
      <c r="Z4" s="39" t="s">
        <v>247</v>
      </c>
      <c r="AA4" s="40" t="s">
        <v>203</v>
      </c>
      <c r="AB4" s="40" t="s">
        <v>206</v>
      </c>
      <c r="AC4" s="40" t="s">
        <v>207</v>
      </c>
      <c r="AD4" s="40" t="s">
        <v>208</v>
      </c>
      <c r="AE4" s="40" t="s">
        <v>209</v>
      </c>
    </row>
    <row r="5" spans="1:31" ht="16.2">
      <c r="Z5" s="38">
        <v>1</v>
      </c>
      <c r="AA5" s="38" t="s">
        <v>211</v>
      </c>
      <c r="AB5" s="38" t="s">
        <v>212</v>
      </c>
      <c r="AC5" s="38" t="s">
        <v>210</v>
      </c>
      <c r="AD5" s="38" t="s">
        <v>231</v>
      </c>
      <c r="AE5" s="38" t="s">
        <v>213</v>
      </c>
    </row>
    <row r="6" spans="1:31">
      <c r="Z6" s="38">
        <v>2</v>
      </c>
      <c r="AA6" s="38"/>
      <c r="AB6" s="38"/>
      <c r="AC6" s="38"/>
      <c r="AD6" s="38" t="s">
        <v>232</v>
      </c>
      <c r="AE6" s="38" t="s">
        <v>214</v>
      </c>
    </row>
    <row r="7" spans="1:31">
      <c r="Z7" s="38">
        <v>3</v>
      </c>
      <c r="AA7" s="38"/>
      <c r="AB7" s="38"/>
      <c r="AC7" s="38"/>
      <c r="AD7" s="38" t="s">
        <v>233</v>
      </c>
      <c r="AE7" s="38" t="s">
        <v>215</v>
      </c>
    </row>
    <row r="8" spans="1:31">
      <c r="Z8" s="38">
        <v>4</v>
      </c>
      <c r="AA8" s="38"/>
      <c r="AB8" s="38"/>
      <c r="AC8" s="38"/>
      <c r="AD8" s="38"/>
      <c r="AE8" s="38" t="s">
        <v>216</v>
      </c>
    </row>
    <row r="9" spans="1:31">
      <c r="Z9" s="38">
        <v>5</v>
      </c>
      <c r="AA9" s="38"/>
      <c r="AB9" s="38"/>
      <c r="AC9" s="38"/>
      <c r="AD9" s="38"/>
      <c r="AE9" s="38" t="s">
        <v>217</v>
      </c>
    </row>
    <row r="10" spans="1:31">
      <c r="Z10" s="38">
        <v>6</v>
      </c>
      <c r="AA10" s="38"/>
      <c r="AB10" s="38"/>
      <c r="AC10" s="38"/>
      <c r="AD10" s="38"/>
      <c r="AE10" s="38" t="s">
        <v>218</v>
      </c>
    </row>
    <row r="11" spans="1:31">
      <c r="Z11" s="38">
        <v>7</v>
      </c>
      <c r="AA11" s="38"/>
      <c r="AB11" s="38"/>
      <c r="AC11" s="38"/>
      <c r="AD11" s="38"/>
      <c r="AE11" s="38" t="s">
        <v>219</v>
      </c>
    </row>
    <row r="12" spans="1:31">
      <c r="Z12" s="38">
        <v>8</v>
      </c>
      <c r="AA12" s="38"/>
      <c r="AB12" s="38"/>
      <c r="AC12" s="38"/>
      <c r="AD12" s="38"/>
      <c r="AE12" s="38" t="s">
        <v>220</v>
      </c>
    </row>
    <row r="13" spans="1:31">
      <c r="A13" s="31" t="s">
        <v>180</v>
      </c>
      <c r="L13" s="31" t="s">
        <v>235</v>
      </c>
      <c r="Z13" s="38">
        <v>9</v>
      </c>
      <c r="AA13" s="38"/>
      <c r="AB13" s="38"/>
      <c r="AC13" s="38"/>
      <c r="AD13" s="38"/>
      <c r="AE13" s="38" t="s">
        <v>221</v>
      </c>
    </row>
    <row r="14" spans="1:31">
      <c r="Z14" s="38">
        <v>10</v>
      </c>
      <c r="AA14" s="38"/>
      <c r="AB14" s="38"/>
      <c r="AC14" s="38"/>
      <c r="AD14" s="38"/>
      <c r="AE14" s="38" t="s">
        <v>222</v>
      </c>
    </row>
    <row r="15" spans="1:31" ht="16.2">
      <c r="A15" s="32" t="s">
        <v>181</v>
      </c>
      <c r="L15" s="33" t="s">
        <v>182</v>
      </c>
      <c r="Z15" s="38">
        <v>11</v>
      </c>
      <c r="AA15" s="38"/>
      <c r="AB15" s="38"/>
      <c r="AC15" s="38"/>
      <c r="AD15" s="38"/>
      <c r="AE15" s="38" t="s">
        <v>223</v>
      </c>
    </row>
    <row r="16" spans="1:31" ht="16.2">
      <c r="A16" s="34"/>
      <c r="L16" s="35" t="s">
        <v>183</v>
      </c>
      <c r="Z16" s="38">
        <v>12</v>
      </c>
      <c r="AA16" s="38"/>
      <c r="AB16" s="38"/>
      <c r="AC16" s="38"/>
      <c r="AD16" s="38"/>
      <c r="AE16" s="38" t="s">
        <v>224</v>
      </c>
    </row>
    <row r="17" spans="12:31">
      <c r="Z17" s="38">
        <v>13</v>
      </c>
      <c r="AA17" s="38"/>
      <c r="AB17" s="38"/>
      <c r="AC17" s="38"/>
      <c r="AD17" s="38"/>
      <c r="AE17" s="38" t="s">
        <v>225</v>
      </c>
    </row>
    <row r="18" spans="12:31">
      <c r="Z18" s="38">
        <v>14</v>
      </c>
      <c r="AA18" s="38"/>
      <c r="AB18" s="38"/>
      <c r="AC18" s="38"/>
      <c r="AD18" s="38"/>
      <c r="AE18" s="38" t="s">
        <v>226</v>
      </c>
    </row>
    <row r="19" spans="12:31">
      <c r="Z19" s="38">
        <v>15</v>
      </c>
      <c r="AA19" s="38"/>
      <c r="AB19" s="38"/>
      <c r="AC19" s="38"/>
      <c r="AD19" s="38"/>
      <c r="AE19" s="38" t="s">
        <v>227</v>
      </c>
    </row>
    <row r="20" spans="12:31">
      <c r="L20" s="31" t="s">
        <v>190</v>
      </c>
      <c r="Z20" s="38">
        <v>16</v>
      </c>
      <c r="AA20" s="38"/>
      <c r="AB20" s="38"/>
      <c r="AC20" s="38"/>
      <c r="AD20" s="38"/>
      <c r="AE20" s="38" t="s">
        <v>228</v>
      </c>
    </row>
    <row r="21" spans="12:31">
      <c r="Z21" s="38">
        <v>17</v>
      </c>
      <c r="AA21" s="38"/>
      <c r="AB21" s="38"/>
      <c r="AC21" s="38"/>
      <c r="AD21" s="38"/>
      <c r="AE21" s="38" t="s">
        <v>229</v>
      </c>
    </row>
    <row r="22" spans="12:31" ht="16.2">
      <c r="L22" s="32" t="s">
        <v>236</v>
      </c>
      <c r="Z22" s="38">
        <v>18</v>
      </c>
      <c r="AA22" s="38"/>
      <c r="AB22" s="38"/>
      <c r="AC22" s="38"/>
      <c r="AD22" s="38"/>
      <c r="AE22" s="38" t="s">
        <v>230</v>
      </c>
    </row>
    <row r="23" spans="12:31" ht="16.2">
      <c r="L23" s="32" t="s">
        <v>237</v>
      </c>
      <c r="Z23" s="38">
        <v>19</v>
      </c>
      <c r="AA23" s="38"/>
      <c r="AB23" s="38"/>
      <c r="AC23" s="38"/>
      <c r="AD23" s="38"/>
      <c r="AE23" s="38"/>
    </row>
    <row r="24" spans="12:31" ht="16.2">
      <c r="L24" s="33" t="s">
        <v>238</v>
      </c>
      <c r="Z24" s="38">
        <v>20</v>
      </c>
      <c r="AA24" s="38"/>
      <c r="AB24" s="38"/>
      <c r="AC24" s="38"/>
      <c r="AD24" s="38"/>
      <c r="AE24" s="38"/>
    </row>
    <row r="25" spans="12:31" ht="16.2">
      <c r="L25" s="32" t="s">
        <v>239</v>
      </c>
    </row>
    <row r="26" spans="12:31" ht="16.2">
      <c r="L26" s="32" t="s">
        <v>240</v>
      </c>
    </row>
    <row r="27" spans="12:31" ht="16.2">
      <c r="L27" s="32" t="s">
        <v>241</v>
      </c>
    </row>
    <row r="29" spans="12:31" ht="16.2">
      <c r="L29" s="35" t="s">
        <v>184</v>
      </c>
    </row>
    <row r="31" spans="12:31" ht="16.2">
      <c r="L31" s="35" t="s">
        <v>242</v>
      </c>
    </row>
    <row r="32" spans="12:31" ht="16.2">
      <c r="L32" t="s">
        <v>243</v>
      </c>
    </row>
    <row r="33" spans="1:12" ht="16.2">
      <c r="L33" s="36" t="s">
        <v>244</v>
      </c>
    </row>
    <row r="34" spans="1:12" ht="16.2">
      <c r="L34" s="36" t="s">
        <v>245</v>
      </c>
    </row>
    <row r="35" spans="1:12" ht="16.2">
      <c r="L35" s="36" t="s">
        <v>246</v>
      </c>
    </row>
    <row r="37" spans="1:12" ht="16.2">
      <c r="L37" s="35" t="s">
        <v>185</v>
      </c>
    </row>
    <row r="45" spans="1:12" ht="16.2">
      <c r="A45" s="32" t="s">
        <v>186</v>
      </c>
    </row>
    <row r="46" spans="1:12" ht="16.2">
      <c r="A46" s="32" t="s">
        <v>187</v>
      </c>
    </row>
    <row r="64" spans="1:1" ht="16.2">
      <c r="A64" t="s">
        <v>188</v>
      </c>
    </row>
    <row r="65" spans="1:1" ht="16.2">
      <c r="A65" s="35" t="s">
        <v>189</v>
      </c>
    </row>
  </sheetData>
  <phoneticPr fontId="1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outputReport_Click">
                <anchor moveWithCells="1">
                  <from>
                    <xdr:col>0</xdr:col>
                    <xdr:colOff>99060</xdr:colOff>
                    <xdr:row>2</xdr:row>
                    <xdr:rowOff>0</xdr:rowOff>
                  </from>
                  <to>
                    <xdr:col>2</xdr:col>
                    <xdr:colOff>38100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CBC03-3117-4C59-90E3-9F026C519C76}">
  <sheetPr codeName="Sheet4">
    <tabColor rgb="FFFFC000"/>
  </sheetPr>
  <dimension ref="A1:AM122"/>
  <sheetViews>
    <sheetView tabSelected="1" topLeftCell="A98" workbookViewId="0">
      <selection activeCell="AK124" sqref="AK124"/>
    </sheetView>
  </sheetViews>
  <sheetFormatPr defaultColWidth="6.88671875" defaultRowHeight="12.75" customHeight="1"/>
  <cols>
    <col min="1" max="1" width="8" customWidth="1"/>
    <col min="2" max="2" width="1.109375" customWidth="1"/>
    <col min="3" max="3" width="2.33203125" customWidth="1"/>
    <col min="4" max="5" width="3.44140625" customWidth="1"/>
    <col min="6" max="6" width="8" customWidth="1"/>
    <col min="7" max="7" width="1.109375" customWidth="1"/>
    <col min="8" max="8" width="18.33203125" customWidth="1"/>
    <col min="9" max="10" width="1.109375" customWidth="1"/>
    <col min="11" max="11" width="2.33203125" customWidth="1"/>
    <col min="12" max="12" width="3.44140625" customWidth="1"/>
    <col min="13" max="14" width="1.109375" customWidth="1"/>
    <col min="15" max="15" width="5.6640625" customWidth="1"/>
    <col min="16" max="16" width="3.5546875" customWidth="1"/>
    <col min="17" max="17" width="3.44140625" customWidth="1"/>
    <col min="19" max="19" width="4.44140625" customWidth="1"/>
    <col min="20" max="20" width="2.33203125" customWidth="1"/>
    <col min="21" max="21" width="1.109375" customWidth="1"/>
    <col min="22" max="22" width="4.5546875" customWidth="1"/>
    <col min="23" max="23" width="1.109375" customWidth="1"/>
    <col min="24" max="24" width="1.5546875" customWidth="1"/>
    <col min="25" max="25" width="3.109375" customWidth="1"/>
    <col min="26" max="26" width="2" customWidth="1"/>
    <col min="27" max="27" width="1.109375" customWidth="1"/>
    <col min="28" max="28" width="3.6640625" customWidth="1"/>
    <col min="29" max="30" width="1.109375" customWidth="1"/>
    <col min="31" max="31" width="1.33203125" customWidth="1"/>
    <col min="32" max="33" width="1.109375" customWidth="1"/>
    <col min="34" max="34" width="1.44140625" customWidth="1"/>
    <col min="37" max="37" width="26.5546875" customWidth="1"/>
  </cols>
  <sheetData>
    <row r="1" spans="1:38" ht="6" customHeight="1"/>
    <row r="2" spans="1:38" ht="13.5" customHeight="1">
      <c r="W2" s="160">
        <f>SF_Data!J2</f>
        <v>0</v>
      </c>
      <c r="X2" s="160"/>
      <c r="Y2" s="160"/>
      <c r="Z2" s="160"/>
      <c r="AA2" s="160"/>
      <c r="AB2" s="160"/>
      <c r="AC2" s="160"/>
      <c r="AD2" s="160"/>
      <c r="AE2" s="160"/>
      <c r="AF2" s="160"/>
    </row>
    <row r="3" spans="1:38" ht="6.75" customHeight="1">
      <c r="C3" s="24"/>
      <c r="D3" s="164">
        <f>SF_Data!L2</f>
        <v>0</v>
      </c>
      <c r="E3" s="164"/>
      <c r="F3" s="164"/>
      <c r="G3" s="131" t="s">
        <v>167</v>
      </c>
      <c r="H3" s="131"/>
    </row>
    <row r="4" spans="1:38" ht="6.75" customHeight="1">
      <c r="C4" s="24"/>
      <c r="D4" s="164"/>
      <c r="E4" s="164"/>
      <c r="F4" s="164"/>
      <c r="G4" s="131"/>
      <c r="H4" s="131"/>
      <c r="J4" s="131"/>
      <c r="K4" s="131"/>
      <c r="L4" s="131"/>
      <c r="M4" s="131"/>
      <c r="N4" s="131"/>
    </row>
    <row r="5" spans="1:38" ht="6.75" customHeight="1">
      <c r="C5" s="24"/>
      <c r="D5" s="169">
        <f>SF_Data!M2</f>
        <v>0</v>
      </c>
      <c r="E5" s="169"/>
      <c r="F5" s="169"/>
      <c r="G5" s="169"/>
      <c r="H5" s="169"/>
      <c r="I5" s="169"/>
      <c r="J5" s="131"/>
      <c r="K5" s="131"/>
      <c r="L5" s="131"/>
      <c r="M5" s="131"/>
      <c r="N5" s="131"/>
    </row>
    <row r="6" spans="1:38" ht="6.75" customHeight="1">
      <c r="C6" s="24"/>
      <c r="D6" s="169"/>
      <c r="E6" s="169"/>
      <c r="F6" s="169"/>
      <c r="G6" s="169"/>
      <c r="H6" s="169"/>
      <c r="I6" s="169"/>
    </row>
    <row r="7" spans="1:38" ht="7.5" customHeight="1">
      <c r="C7" s="24"/>
      <c r="D7" s="169">
        <f>SF_Data!K2</f>
        <v>0</v>
      </c>
      <c r="E7" s="169"/>
      <c r="F7" s="169"/>
      <c r="G7" s="169"/>
      <c r="H7" s="169"/>
      <c r="I7" s="169"/>
      <c r="J7" s="24"/>
      <c r="K7" s="24"/>
    </row>
    <row r="8" spans="1:38" ht="6" customHeight="1">
      <c r="C8" s="24"/>
      <c r="D8" s="169"/>
      <c r="E8" s="169"/>
      <c r="F8" s="169"/>
      <c r="G8" s="169"/>
      <c r="H8" s="169"/>
      <c r="I8" s="169"/>
      <c r="J8" s="24"/>
      <c r="K8" s="24"/>
    </row>
    <row r="9" spans="1:38" ht="12.6" customHeight="1">
      <c r="C9" s="24"/>
      <c r="D9" s="169" t="str">
        <f>SF_Data!N2&amp;"　号室"</f>
        <v>　号室</v>
      </c>
      <c r="E9" s="169"/>
      <c r="F9" s="169"/>
      <c r="G9" s="169"/>
      <c r="H9" s="22"/>
      <c r="I9" s="22"/>
      <c r="J9" s="22"/>
      <c r="K9" s="22"/>
      <c r="L9" s="23"/>
      <c r="R9" s="122">
        <f>SF_Data!F2</f>
        <v>0</v>
      </c>
      <c r="S9" s="122"/>
      <c r="T9" s="122"/>
      <c r="U9" s="122"/>
      <c r="V9" s="122"/>
      <c r="W9" s="122"/>
      <c r="X9" s="122"/>
      <c r="Y9" s="122"/>
      <c r="Z9" s="122"/>
      <c r="AA9" s="122"/>
      <c r="AB9" s="122"/>
      <c r="AC9" s="122"/>
      <c r="AD9" s="122"/>
      <c r="AE9" s="122"/>
      <c r="AF9" s="122"/>
      <c r="AG9" s="122"/>
    </row>
    <row r="10" spans="1:38" ht="11.4" customHeight="1">
      <c r="C10" s="24"/>
      <c r="D10" s="169" t="str">
        <f>SF_Data!A2&amp;"　様"</f>
        <v>　様</v>
      </c>
      <c r="E10" s="169"/>
      <c r="F10" s="169"/>
      <c r="G10" s="169"/>
      <c r="H10" s="169"/>
      <c r="I10" s="24"/>
      <c r="J10" s="24"/>
      <c r="K10" s="24"/>
      <c r="L10" s="23"/>
      <c r="R10" s="51" t="s">
        <v>263</v>
      </c>
    </row>
    <row r="11" spans="1:38" ht="11.4" customHeight="1">
      <c r="C11" s="24"/>
      <c r="D11" s="169"/>
      <c r="E11" s="169"/>
      <c r="F11" s="169"/>
      <c r="G11" s="169"/>
      <c r="H11" s="169"/>
      <c r="I11" s="24"/>
      <c r="J11" s="24"/>
      <c r="K11" s="24"/>
      <c r="L11" s="23"/>
      <c r="R11" s="75" t="str">
        <f>IF(SF_Data!X2=TRUE,"ＴＥＬ ： 0120-901-197　ＦＡＸ ： 0120-922-068","ＴＥＬ ： 0120-922-804　ＦＡＸ ： 0120-922-068")</f>
        <v>ＴＥＬ ： 0120-922-804　ＦＡＸ ： 0120-922-068</v>
      </c>
      <c r="S11" s="75"/>
      <c r="T11" s="75"/>
      <c r="U11" s="75"/>
      <c r="V11" s="75"/>
      <c r="W11" s="75"/>
      <c r="X11" s="75"/>
      <c r="Y11" s="75"/>
      <c r="Z11" s="75"/>
      <c r="AA11" s="75"/>
      <c r="AB11" s="75"/>
      <c r="AC11" s="75"/>
      <c r="AD11" s="75"/>
      <c r="AE11" s="75"/>
      <c r="AF11" s="75"/>
      <c r="AG11" s="22"/>
    </row>
    <row r="12" spans="1:38" ht="12.6" customHeight="1">
      <c r="R12" s="75" t="str">
        <f>IF(SF_Data!X2=TRUE,"　　　24時間(365日)","平日)10:00～21:00　土日祝日)10:00～17:00")</f>
        <v>平日)10:00～21:00　土日祝日)10:00～17:00</v>
      </c>
      <c r="S12" s="75"/>
      <c r="T12" s="75"/>
      <c r="U12" s="75"/>
      <c r="V12" s="75"/>
      <c r="W12" s="75"/>
      <c r="X12" s="75"/>
      <c r="Y12" s="75"/>
      <c r="Z12" s="75"/>
      <c r="AA12" s="75"/>
      <c r="AB12" s="75"/>
      <c r="AC12" s="75"/>
      <c r="AD12" s="75"/>
      <c r="AE12" s="75"/>
      <c r="AF12" s="50"/>
      <c r="AG12" s="22"/>
      <c r="AK12" s="54" t="s">
        <v>283</v>
      </c>
    </row>
    <row r="13" spans="1:38" ht="13.5" customHeight="1">
      <c r="C13" s="161" t="str">
        <f>SF_Data!F2&amp;"ご利用通知"</f>
        <v>ご利用通知</v>
      </c>
      <c r="D13" s="162"/>
      <c r="E13" s="162"/>
      <c r="F13" s="162"/>
      <c r="G13" s="162"/>
      <c r="H13" s="163"/>
      <c r="I13" s="25"/>
      <c r="J13" s="26"/>
      <c r="K13" s="26"/>
      <c r="L13" s="26"/>
      <c r="R13" s="75" t="str">
        <f>"mail：support@"&amp; SF_Data!G2</f>
        <v>mail：support@</v>
      </c>
      <c r="S13" s="75"/>
      <c r="T13" s="75"/>
      <c r="U13" s="75"/>
      <c r="V13" s="75"/>
      <c r="W13" s="75"/>
      <c r="X13" s="75"/>
      <c r="Y13" s="75"/>
      <c r="Z13" s="75"/>
      <c r="AA13" s="75"/>
      <c r="AB13" s="75"/>
      <c r="AC13" s="75"/>
      <c r="AD13" s="75"/>
      <c r="AE13" s="75"/>
      <c r="AF13" s="75"/>
      <c r="AG13" s="75"/>
      <c r="AK13" s="54" t="s">
        <v>284</v>
      </c>
    </row>
    <row r="14" spans="1:38" ht="11.25" customHeight="1">
      <c r="R14" s="170" t="s">
        <v>264</v>
      </c>
      <c r="S14" s="170"/>
      <c r="T14" s="170"/>
      <c r="U14" s="170"/>
      <c r="V14" s="170"/>
      <c r="W14" s="170"/>
      <c r="X14" s="170"/>
      <c r="Y14" s="170"/>
      <c r="Z14" s="170"/>
      <c r="AA14" s="170"/>
      <c r="AB14" s="170"/>
      <c r="AC14" s="170"/>
      <c r="AD14" s="170"/>
      <c r="AE14" s="170"/>
      <c r="AF14" s="170"/>
      <c r="AG14" s="170"/>
      <c r="AJ14" s="28" t="s">
        <v>179</v>
      </c>
    </row>
    <row r="15" spans="1:38" ht="39" customHeight="1">
      <c r="AJ15" s="29">
        <f>SF_Data!W2</f>
        <v>0</v>
      </c>
      <c r="AK15" s="30"/>
      <c r="AL15" s="30"/>
    </row>
    <row r="16" spans="1:38" ht="36.75" customHeight="1">
      <c r="A16" s="172" t="str">
        <f>SF_Data!F2 &amp; "　サービスご利用通知"</f>
        <v>　サービスご利用通知</v>
      </c>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row>
    <row r="17" spans="1:37" ht="13.2" customHeight="1">
      <c r="A17" s="166"/>
      <c r="B17" s="166"/>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row>
    <row r="18" spans="1:37" ht="9" customHeight="1"/>
    <row r="19" spans="1:37" ht="15.6" customHeight="1">
      <c r="C19" s="122" t="s">
        <v>23</v>
      </c>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K19" s="1"/>
    </row>
    <row r="20" spans="1:37" ht="15.6" customHeight="1">
      <c r="C20" s="122" t="s">
        <v>24</v>
      </c>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K20" s="2"/>
    </row>
    <row r="21" spans="1:37" ht="13.8" customHeight="1">
      <c r="C21" s="167" t="s">
        <v>265</v>
      </c>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K21" s="2"/>
    </row>
    <row r="22" spans="1:37" ht="13.8" customHeight="1">
      <c r="C22" s="167" t="s">
        <v>266</v>
      </c>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row>
    <row r="23" spans="1:37" ht="29.4" customHeight="1">
      <c r="C23" s="168" t="str">
        <f>IF(SF_Data!Z2="-","","※　本書「ご利用通知」、「手続き完了のご案内」、取引年月日を示す通帳等の保管を組み合わせることで、
　　 インボイス制度における仕入税額控除の適用条件を満たします。大切に保管をお願いいたします。")</f>
        <v>※　本書「ご利用通知」、「手続き完了のご案内」、取引年月日を示す通帳等の保管を組み合わせることで、
　　 インボイス制度における仕入税額控除の適用条件を満たします。大切に保管をお願いいたします。</v>
      </c>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8"/>
      <c r="AC23" s="168"/>
      <c r="AD23" s="168"/>
      <c r="AE23" s="168"/>
      <c r="AK23" s="54" t="s">
        <v>285</v>
      </c>
    </row>
    <row r="24" spans="1:37" ht="20.25" customHeight="1"/>
    <row r="25" spans="1:37" ht="27" customHeight="1">
      <c r="B25" s="129" t="s">
        <v>27</v>
      </c>
      <c r="C25" s="129"/>
      <c r="D25" s="129"/>
      <c r="E25" s="129"/>
      <c r="F25" s="129"/>
      <c r="G25" s="129"/>
      <c r="H25" s="129"/>
      <c r="I25" s="129"/>
      <c r="J25" s="129"/>
      <c r="K25" s="165" t="str">
        <f>SF_Data!A2&amp; "　様"</f>
        <v>　様</v>
      </c>
      <c r="L25" s="165"/>
      <c r="M25" s="165"/>
      <c r="N25" s="165"/>
      <c r="O25" s="165"/>
      <c r="P25" s="165"/>
      <c r="Q25" s="165"/>
      <c r="R25" s="165"/>
      <c r="S25" s="165"/>
      <c r="T25" s="165"/>
      <c r="U25" s="165"/>
      <c r="V25" s="165"/>
      <c r="W25" s="165"/>
      <c r="X25" s="165"/>
      <c r="Y25" s="165"/>
      <c r="Z25" s="165"/>
      <c r="AA25" s="165"/>
      <c r="AB25" s="165"/>
      <c r="AC25" s="165"/>
      <c r="AD25" s="165"/>
    </row>
    <row r="26" spans="1:37" ht="27" customHeight="1">
      <c r="B26" s="129" t="s">
        <v>22</v>
      </c>
      <c r="C26" s="129"/>
      <c r="D26" s="129"/>
      <c r="E26" s="129"/>
      <c r="F26" s="129"/>
      <c r="G26" s="129"/>
      <c r="H26" s="129"/>
      <c r="I26" s="129"/>
      <c r="J26" s="129"/>
      <c r="K26" s="165">
        <f>SF_Data!K2</f>
        <v>0</v>
      </c>
      <c r="L26" s="165"/>
      <c r="M26" s="165"/>
      <c r="N26" s="165"/>
      <c r="O26" s="165"/>
      <c r="P26" s="165"/>
      <c r="Q26" s="165"/>
      <c r="R26" s="165"/>
      <c r="S26" s="165"/>
      <c r="T26" s="165"/>
      <c r="U26" s="165"/>
      <c r="V26" s="165"/>
      <c r="W26" s="165"/>
      <c r="X26" s="165"/>
      <c r="Y26" s="165"/>
      <c r="Z26" s="165"/>
      <c r="AA26" s="165"/>
      <c r="AB26" s="165"/>
      <c r="AC26" s="165"/>
      <c r="AD26" s="165"/>
    </row>
    <row r="27" spans="1:37" ht="27" customHeight="1">
      <c r="B27" s="129" t="s">
        <v>28</v>
      </c>
      <c r="C27" s="129"/>
      <c r="D27" s="129"/>
      <c r="E27" s="129"/>
      <c r="F27" s="129"/>
      <c r="G27" s="129"/>
      <c r="H27" s="129"/>
      <c r="I27" s="129"/>
      <c r="J27" s="129"/>
      <c r="K27" s="173" t="str">
        <f>SF_Data!N2&amp;"　号室"</f>
        <v>　号室</v>
      </c>
      <c r="L27" s="174"/>
      <c r="M27" s="174"/>
      <c r="N27" s="174"/>
      <c r="O27" s="174"/>
      <c r="P27" s="174"/>
      <c r="Q27" s="174"/>
      <c r="R27" s="174"/>
      <c r="S27" s="174"/>
      <c r="T27" s="174"/>
      <c r="U27" s="174"/>
      <c r="V27" s="174"/>
      <c r="W27" s="174"/>
      <c r="X27" s="174"/>
      <c r="Y27" s="174"/>
      <c r="Z27" s="174"/>
      <c r="AA27" s="174"/>
      <c r="AB27" s="174"/>
      <c r="AC27" s="174"/>
      <c r="AD27" s="175"/>
    </row>
    <row r="28" spans="1:37" ht="27" customHeight="1">
      <c r="B28" s="129" t="s">
        <v>29</v>
      </c>
      <c r="C28" s="129"/>
      <c r="D28" s="129"/>
      <c r="E28" s="129"/>
      <c r="F28" s="129"/>
      <c r="G28" s="129"/>
      <c r="H28" s="129"/>
      <c r="I28" s="129"/>
      <c r="J28" s="129"/>
      <c r="K28" s="173">
        <f>SF_Data!M2</f>
        <v>0</v>
      </c>
      <c r="L28" s="174"/>
      <c r="M28" s="174"/>
      <c r="N28" s="174"/>
      <c r="O28" s="174"/>
      <c r="P28" s="174"/>
      <c r="Q28" s="174"/>
      <c r="R28" s="174"/>
      <c r="S28" s="174"/>
      <c r="T28" s="174"/>
      <c r="U28" s="174"/>
      <c r="V28" s="174"/>
      <c r="W28" s="174"/>
      <c r="X28" s="174"/>
      <c r="Y28" s="174"/>
      <c r="Z28" s="174"/>
      <c r="AA28" s="174"/>
      <c r="AB28" s="174"/>
      <c r="AC28" s="174"/>
      <c r="AD28" s="175"/>
    </row>
    <row r="29" spans="1:37" ht="20.25" customHeight="1">
      <c r="B29" s="129" t="s">
        <v>30</v>
      </c>
      <c r="C29" s="129"/>
      <c r="D29" s="129"/>
      <c r="E29" s="129"/>
      <c r="F29" s="129"/>
      <c r="G29" s="129"/>
      <c r="H29" s="129"/>
      <c r="I29" s="129"/>
      <c r="J29" s="129"/>
      <c r="K29" s="176" t="s">
        <v>31</v>
      </c>
      <c r="L29" s="176"/>
      <c r="M29" s="176"/>
      <c r="N29" s="176"/>
      <c r="O29" s="176"/>
      <c r="P29" s="176"/>
      <c r="Q29" s="176"/>
      <c r="R29" s="176"/>
      <c r="S29" s="176" t="s">
        <v>32</v>
      </c>
      <c r="T29" s="176"/>
      <c r="U29" s="176"/>
      <c r="V29" s="176"/>
      <c r="W29" s="176"/>
      <c r="X29" s="176"/>
      <c r="Y29" s="176"/>
      <c r="Z29" s="176"/>
      <c r="AA29" s="176"/>
      <c r="AB29" s="176"/>
      <c r="AC29" s="176"/>
      <c r="AD29" s="176"/>
    </row>
    <row r="30" spans="1:37" ht="20.25" customHeight="1">
      <c r="B30" s="129"/>
      <c r="C30" s="129"/>
      <c r="D30" s="129"/>
      <c r="E30" s="129"/>
      <c r="F30" s="129"/>
      <c r="G30" s="129"/>
      <c r="H30" s="129"/>
      <c r="I30" s="129"/>
      <c r="J30" s="129"/>
      <c r="K30" s="165">
        <f>SF_Data!B2</f>
        <v>0</v>
      </c>
      <c r="L30" s="165"/>
      <c r="M30" s="165"/>
      <c r="N30" s="165"/>
      <c r="O30" s="165"/>
      <c r="P30" s="165"/>
      <c r="Q30" s="165"/>
      <c r="R30" s="165"/>
      <c r="S30" s="165">
        <f>SF_Data!C2</f>
        <v>0</v>
      </c>
      <c r="T30" s="165"/>
      <c r="U30" s="165"/>
      <c r="V30" s="165"/>
      <c r="W30" s="165"/>
      <c r="X30" s="165"/>
      <c r="Y30" s="165"/>
      <c r="Z30" s="165"/>
      <c r="AA30" s="165"/>
      <c r="AB30" s="165"/>
      <c r="AC30" s="165"/>
      <c r="AD30" s="165"/>
    </row>
    <row r="31" spans="1:37" ht="13.5" customHeight="1">
      <c r="B31" s="129" t="s">
        <v>33</v>
      </c>
      <c r="C31" s="129"/>
      <c r="D31" s="129"/>
      <c r="E31" s="129"/>
      <c r="F31" s="129"/>
      <c r="G31" s="129"/>
      <c r="H31" s="129"/>
      <c r="I31" s="129"/>
      <c r="J31" s="129"/>
      <c r="K31" s="152" t="str">
        <f>IF(K33="","",VLOOKUP(K33,カナ!A:B,2))</f>
        <v/>
      </c>
      <c r="L31" s="153"/>
      <c r="M31" s="154"/>
      <c r="N31" s="152" t="str">
        <f>IF(N33="","",VLOOKUP(N33,カナ!A:B,2))</f>
        <v/>
      </c>
      <c r="O31" s="154"/>
      <c r="P31" s="152" t="str">
        <f>IF(P33="","",VLOOKUP(P33,カナ!A:B,2))</f>
        <v/>
      </c>
      <c r="Q31" s="154"/>
      <c r="R31" s="20" t="str">
        <f>IF(R33="","",VLOOKUP(R33,カナ!A:B,2))</f>
        <v/>
      </c>
      <c r="S31" s="152" t="str">
        <f>IF(S33="","",VLOOKUP(S33,カナ!A:B,2))</f>
        <v/>
      </c>
      <c r="T31" s="154"/>
      <c r="U31" s="152" t="str">
        <f>IF(U33="","",VLOOKUP(U33,カナ!A:B,2))</f>
        <v/>
      </c>
      <c r="V31" s="153"/>
      <c r="W31" s="154"/>
      <c r="X31" s="152" t="str">
        <f>IF(X33="","",VLOOKUP(X33,カナ!A:B,2))</f>
        <v/>
      </c>
      <c r="Y31" s="153"/>
      <c r="Z31" s="154"/>
      <c r="AA31" s="177" t="str">
        <f>IF(AA33="","",VLOOKUP(AA33,カナ!A:B,2))</f>
        <v/>
      </c>
      <c r="AB31" s="177"/>
      <c r="AC31" s="177"/>
      <c r="AD31" s="178"/>
      <c r="AI31" s="4"/>
    </row>
    <row r="32" spans="1:37" ht="6.75" customHeight="1">
      <c r="B32" s="129"/>
      <c r="C32" s="129"/>
      <c r="D32" s="129"/>
      <c r="E32" s="129"/>
      <c r="F32" s="129"/>
      <c r="G32" s="129"/>
      <c r="H32" s="129"/>
      <c r="I32" s="129"/>
      <c r="J32" s="129"/>
      <c r="K32" s="14"/>
      <c r="M32" s="15"/>
      <c r="N32" s="14"/>
      <c r="O32" s="15"/>
      <c r="P32" s="14"/>
      <c r="Q32" s="15"/>
      <c r="R32" s="15"/>
      <c r="S32" s="14"/>
      <c r="T32" s="15"/>
      <c r="U32" s="14"/>
      <c r="W32" s="15"/>
      <c r="X32" s="14"/>
      <c r="Z32" s="15"/>
      <c r="AD32" s="15"/>
    </row>
    <row r="33" spans="2:36" ht="20.25" customHeight="1">
      <c r="B33" s="171"/>
      <c r="C33" s="171"/>
      <c r="D33" s="171"/>
      <c r="E33" s="171"/>
      <c r="F33" s="171"/>
      <c r="G33" s="171"/>
      <c r="H33" s="171"/>
      <c r="I33" s="171"/>
      <c r="J33" s="171"/>
      <c r="K33" s="147" t="str">
        <f>MID(SF_Data!H2,1,1)</f>
        <v/>
      </c>
      <c r="L33" s="131"/>
      <c r="M33" s="148"/>
      <c r="N33" s="147" t="str">
        <f>MID(SF_Data!H2,2,1)</f>
        <v/>
      </c>
      <c r="O33" s="148"/>
      <c r="P33" s="147" t="str">
        <f>MID(SF_Data!H2,3,1)</f>
        <v/>
      </c>
      <c r="Q33" s="148"/>
      <c r="R33" s="21" t="str">
        <f>MID(SF_Data!H2,4,1)</f>
        <v/>
      </c>
      <c r="S33" s="147" t="str">
        <f>MID(SF_Data!H2,5,1)</f>
        <v/>
      </c>
      <c r="T33" s="148"/>
      <c r="U33" s="147" t="str">
        <f>MID(SF_Data!H2,6,1)</f>
        <v/>
      </c>
      <c r="V33" s="131"/>
      <c r="W33" s="148"/>
      <c r="X33" s="147" t="str">
        <f>MID(SF_Data!H2,7,1)</f>
        <v/>
      </c>
      <c r="Y33" s="131"/>
      <c r="Z33" s="148"/>
      <c r="AA33" s="131" t="str">
        <f>MID(SF_Data!H2,8,1)</f>
        <v/>
      </c>
      <c r="AB33" s="131"/>
      <c r="AC33" s="131"/>
      <c r="AD33" s="148"/>
      <c r="AJ33" s="1"/>
    </row>
    <row r="34" spans="2:36" ht="13.2" customHeight="1">
      <c r="B34" s="155" t="s">
        <v>40</v>
      </c>
      <c r="C34" s="156"/>
      <c r="D34" s="156"/>
      <c r="E34" s="156"/>
      <c r="F34" s="156"/>
      <c r="G34" s="156"/>
      <c r="H34" s="156"/>
      <c r="I34" s="156"/>
      <c r="J34" s="157"/>
      <c r="K34" s="152" t="str">
        <f>IF(K36="","",VLOOKUP(K36,カナ!A:B,2))</f>
        <v/>
      </c>
      <c r="L34" s="153"/>
      <c r="M34" s="154"/>
      <c r="N34" s="152" t="str">
        <f>IF(N36="","",VLOOKUP(N36,カナ!A:B,2))</f>
        <v/>
      </c>
      <c r="O34" s="154"/>
      <c r="P34" s="152" t="str">
        <f>IF(P36="","",VLOOKUP(P36,カナ!A:B,2))</f>
        <v/>
      </c>
      <c r="Q34" s="154"/>
      <c r="R34" s="20" t="str">
        <f>IF(R36="","",VLOOKUP(R36,カナ!A:B,2))</f>
        <v/>
      </c>
      <c r="S34" s="152" t="str">
        <f>IF(S36="","",VLOOKUP(S36,カナ!A:B,2))</f>
        <v/>
      </c>
      <c r="T34" s="154"/>
      <c r="U34" s="152" t="str">
        <f>IF(U36="","",VLOOKUP(U36,カナ!A:B,2))</f>
        <v/>
      </c>
      <c r="V34" s="153"/>
      <c r="W34" s="154"/>
      <c r="X34" s="152" t="str">
        <f>IF(X36="","",VLOOKUP(X36,カナ!A:B,2))</f>
        <v/>
      </c>
      <c r="Y34" s="153"/>
      <c r="Z34" s="154"/>
      <c r="AA34" s="153" t="str">
        <f>IF(AA36="","",VLOOKUP(AA36,カナ!A:B,2))</f>
        <v/>
      </c>
      <c r="AB34" s="153"/>
      <c r="AC34" s="153"/>
      <c r="AD34" s="154"/>
    </row>
    <row r="35" spans="2:36" ht="6.75" customHeight="1">
      <c r="B35" s="96"/>
      <c r="C35" s="97"/>
      <c r="D35" s="97"/>
      <c r="E35" s="97"/>
      <c r="F35" s="97"/>
      <c r="G35" s="97"/>
      <c r="H35" s="97"/>
      <c r="I35" s="97"/>
      <c r="J35" s="98"/>
      <c r="K35" s="14"/>
      <c r="L35" s="1"/>
      <c r="M35" s="15"/>
      <c r="N35" s="14"/>
      <c r="O35" s="15"/>
      <c r="P35" s="14"/>
      <c r="Q35" s="15"/>
      <c r="R35" s="15"/>
      <c r="S35" s="14"/>
      <c r="T35" s="15"/>
      <c r="U35" s="14"/>
      <c r="W35" s="15"/>
      <c r="X35" s="14"/>
      <c r="Z35" s="15"/>
      <c r="AD35" s="15"/>
    </row>
    <row r="36" spans="2:36" ht="13.5" customHeight="1">
      <c r="B36" s="96"/>
      <c r="C36" s="97"/>
      <c r="D36" s="97"/>
      <c r="E36" s="97"/>
      <c r="F36" s="97"/>
      <c r="G36" s="97"/>
      <c r="H36" s="97"/>
      <c r="I36" s="97"/>
      <c r="J36" s="98"/>
      <c r="K36" s="147" t="str">
        <f>MID(SF_Data!I2,1,1)</f>
        <v/>
      </c>
      <c r="L36" s="131"/>
      <c r="M36" s="148"/>
      <c r="N36" s="147" t="str">
        <f>MID(SF_Data!I2,2,1)</f>
        <v/>
      </c>
      <c r="O36" s="148"/>
      <c r="P36" s="147" t="str">
        <f>MID(SF_Data!I2,3,1)</f>
        <v/>
      </c>
      <c r="Q36" s="148"/>
      <c r="R36" s="148" t="str">
        <f>MID(SF_Data!I2,4,1)</f>
        <v/>
      </c>
      <c r="S36" s="147" t="str">
        <f>MID(SF_Data!I2,5,1)</f>
        <v/>
      </c>
      <c r="T36" s="148"/>
      <c r="U36" s="147" t="str">
        <f>MID(SF_Data!I2,6,1)</f>
        <v/>
      </c>
      <c r="V36" s="131"/>
      <c r="W36" s="148"/>
      <c r="X36" s="147" t="str">
        <f>MID(SF_Data!I2,7,1)</f>
        <v/>
      </c>
      <c r="Y36" s="131"/>
      <c r="Z36" s="148"/>
      <c r="AA36" s="131" t="str">
        <f>MID(SF_Data!I2,8,1)</f>
        <v/>
      </c>
      <c r="AB36" s="131"/>
      <c r="AC36" s="131"/>
      <c r="AD36" s="148"/>
      <c r="AJ36" s="2"/>
    </row>
    <row r="37" spans="2:36" ht="6.75" customHeight="1">
      <c r="B37" s="99"/>
      <c r="C37" s="100"/>
      <c r="D37" s="100"/>
      <c r="E37" s="100"/>
      <c r="F37" s="100"/>
      <c r="G37" s="100"/>
      <c r="H37" s="100"/>
      <c r="I37" s="100"/>
      <c r="J37" s="101"/>
      <c r="K37" s="149"/>
      <c r="L37" s="150"/>
      <c r="M37" s="151"/>
      <c r="N37" s="149"/>
      <c r="O37" s="151"/>
      <c r="P37" s="149"/>
      <c r="Q37" s="151"/>
      <c r="R37" s="151"/>
      <c r="S37" s="149"/>
      <c r="T37" s="151"/>
      <c r="U37" s="149"/>
      <c r="V37" s="150"/>
      <c r="W37" s="151"/>
      <c r="X37" s="149"/>
      <c r="Y37" s="150"/>
      <c r="Z37" s="151"/>
      <c r="AA37" s="150"/>
      <c r="AB37" s="150"/>
      <c r="AC37" s="150"/>
      <c r="AD37" s="151"/>
    </row>
    <row r="38" spans="2:36" ht="6.75" customHeight="1">
      <c r="B38" s="158"/>
      <c r="C38" s="158"/>
      <c r="D38" s="158"/>
      <c r="E38" s="158"/>
      <c r="F38" s="158"/>
      <c r="G38" s="158"/>
      <c r="H38" s="158"/>
      <c r="I38" s="158"/>
      <c r="J38" s="158"/>
      <c r="K38" s="159"/>
      <c r="L38" s="159"/>
      <c r="M38" s="159"/>
      <c r="N38" s="159"/>
      <c r="O38" s="159"/>
      <c r="P38" s="159"/>
      <c r="Q38" s="159"/>
      <c r="R38" s="159"/>
      <c r="S38" s="159"/>
      <c r="T38" s="159"/>
      <c r="U38" s="159"/>
      <c r="V38" s="159"/>
      <c r="W38" s="159"/>
      <c r="X38" s="159"/>
      <c r="Y38" s="159"/>
      <c r="Z38" s="159"/>
      <c r="AA38" s="159"/>
      <c r="AB38" s="159"/>
      <c r="AC38" s="159"/>
      <c r="AD38" s="159"/>
    </row>
    <row r="39" spans="2:36" ht="8.4" customHeight="1">
      <c r="B39" s="110"/>
      <c r="C39" s="110"/>
      <c r="D39" s="110"/>
      <c r="E39" s="110"/>
      <c r="F39" s="110"/>
      <c r="G39" s="110"/>
      <c r="H39" s="110"/>
      <c r="I39" s="110"/>
      <c r="J39" s="110"/>
      <c r="K39" s="131"/>
      <c r="L39" s="131"/>
      <c r="M39" s="131"/>
      <c r="N39" s="131"/>
      <c r="O39" s="131"/>
      <c r="P39" s="131"/>
      <c r="Q39" s="131"/>
      <c r="R39" s="131"/>
      <c r="S39" s="131"/>
      <c r="T39" s="131"/>
      <c r="U39" s="131"/>
      <c r="V39" s="131"/>
      <c r="W39" s="131"/>
      <c r="X39" s="131"/>
      <c r="Y39" s="131"/>
      <c r="Z39" s="131"/>
      <c r="AA39" s="131"/>
      <c r="AB39" s="131"/>
      <c r="AC39" s="131"/>
      <c r="AD39" s="131"/>
      <c r="AI39" s="3"/>
    </row>
    <row r="40" spans="2:36" ht="6" customHeight="1"/>
    <row r="41" spans="2:36" ht="20.25" customHeight="1">
      <c r="D41" s="66" t="s">
        <v>42</v>
      </c>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row>
    <row r="42" spans="2:36" ht="27" customHeight="1">
      <c r="B42" s="129" t="s">
        <v>43</v>
      </c>
      <c r="C42" s="129"/>
      <c r="D42" s="129"/>
      <c r="E42" s="129"/>
      <c r="F42" s="129"/>
      <c r="G42" s="129"/>
      <c r="H42" s="129"/>
      <c r="I42" s="129"/>
      <c r="J42" s="129"/>
      <c r="K42" s="130">
        <f>SF_Data!D2</f>
        <v>0</v>
      </c>
      <c r="L42" s="130"/>
      <c r="M42" s="130"/>
      <c r="N42" s="130"/>
      <c r="O42" s="130"/>
      <c r="P42" s="130"/>
      <c r="Q42" s="130"/>
      <c r="R42" s="130"/>
      <c r="S42" s="130"/>
      <c r="T42" s="130"/>
      <c r="U42" s="130"/>
      <c r="V42" s="130"/>
      <c r="W42" s="130"/>
      <c r="X42" s="130"/>
      <c r="Y42" s="130"/>
      <c r="Z42" s="130"/>
      <c r="AA42" s="130"/>
      <c r="AB42" s="130"/>
      <c r="AC42" s="130"/>
      <c r="AD42" s="130"/>
    </row>
    <row r="43" spans="2:36" ht="27" customHeight="1">
      <c r="B43" s="129" t="s">
        <v>44</v>
      </c>
      <c r="C43" s="129"/>
      <c r="D43" s="129"/>
      <c r="E43" s="129"/>
      <c r="F43" s="129"/>
      <c r="G43" s="129"/>
      <c r="H43" s="129"/>
      <c r="I43" s="129"/>
      <c r="J43" s="129"/>
      <c r="K43" s="130" t="s">
        <v>45</v>
      </c>
      <c r="L43" s="130"/>
      <c r="M43" s="130"/>
      <c r="N43" s="130"/>
      <c r="O43" s="130"/>
      <c r="P43" s="130"/>
      <c r="Q43" s="130"/>
      <c r="R43" s="130"/>
      <c r="S43" s="130"/>
      <c r="T43" s="130"/>
      <c r="U43" s="130"/>
      <c r="V43" s="130"/>
      <c r="W43" s="130"/>
      <c r="X43" s="130"/>
      <c r="Y43" s="130"/>
      <c r="Z43" s="130"/>
      <c r="AA43" s="130"/>
      <c r="AB43" s="130"/>
      <c r="AC43" s="130"/>
      <c r="AD43" s="130"/>
    </row>
    <row r="44" spans="2:36" ht="6.75" customHeight="1">
      <c r="B44" s="132" t="s">
        <v>250</v>
      </c>
      <c r="C44" s="133"/>
      <c r="D44" s="133"/>
      <c r="E44" s="133"/>
      <c r="F44" s="133"/>
      <c r="G44" s="133"/>
      <c r="H44" s="133"/>
      <c r="I44" s="133"/>
      <c r="J44" s="134"/>
      <c r="K44" s="135" t="s">
        <v>256</v>
      </c>
      <c r="L44" s="136"/>
      <c r="M44" s="136"/>
      <c r="N44" s="136"/>
      <c r="O44" s="136"/>
      <c r="P44" s="136"/>
      <c r="Q44" s="136"/>
      <c r="R44" s="136"/>
      <c r="S44" s="137"/>
      <c r="T44" s="138" t="s">
        <v>253</v>
      </c>
      <c r="U44" s="139"/>
      <c r="V44" s="139"/>
      <c r="W44" s="139"/>
      <c r="X44" s="139"/>
      <c r="Y44" s="139"/>
      <c r="Z44" s="139"/>
      <c r="AA44" s="139"/>
      <c r="AB44" s="139"/>
      <c r="AC44" s="139"/>
      <c r="AD44" s="140"/>
    </row>
    <row r="45" spans="2:36" ht="20.25" customHeight="1">
      <c r="B45" s="132"/>
      <c r="C45" s="133"/>
      <c r="D45" s="133"/>
      <c r="E45" s="133"/>
      <c r="F45" s="133"/>
      <c r="G45" s="133"/>
      <c r="H45" s="133"/>
      <c r="I45" s="133"/>
      <c r="J45" s="134"/>
      <c r="K45" s="135"/>
      <c r="L45" s="136"/>
      <c r="M45" s="136"/>
      <c r="N45" s="136"/>
      <c r="O45" s="136"/>
      <c r="P45" s="136"/>
      <c r="Q45" s="136"/>
      <c r="R45" s="136"/>
      <c r="S45" s="137"/>
      <c r="T45" s="141"/>
      <c r="U45" s="142"/>
      <c r="V45" s="142"/>
      <c r="W45" s="142"/>
      <c r="X45" s="142"/>
      <c r="Y45" s="142"/>
      <c r="Z45" s="142"/>
      <c r="AA45" s="142"/>
      <c r="AB45" s="142"/>
      <c r="AC45" s="142"/>
      <c r="AD45" s="143"/>
    </row>
    <row r="46" spans="2:36" ht="6.75" customHeight="1">
      <c r="B46" s="132" t="s">
        <v>251</v>
      </c>
      <c r="C46" s="133"/>
      <c r="D46" s="133"/>
      <c r="E46" s="133"/>
      <c r="F46" s="133"/>
      <c r="G46" s="133"/>
      <c r="H46" s="133"/>
      <c r="I46" s="133"/>
      <c r="J46" s="134"/>
      <c r="K46" s="135" t="s">
        <v>257</v>
      </c>
      <c r="L46" s="136"/>
      <c r="M46" s="136"/>
      <c r="N46" s="136"/>
      <c r="O46" s="136"/>
      <c r="P46" s="136"/>
      <c r="Q46" s="136"/>
      <c r="R46" s="136"/>
      <c r="S46" s="137"/>
      <c r="T46" s="138" t="s">
        <v>254</v>
      </c>
      <c r="U46" s="139"/>
      <c r="V46" s="139"/>
      <c r="W46" s="139"/>
      <c r="X46" s="139"/>
      <c r="Y46" s="139"/>
      <c r="Z46" s="139"/>
      <c r="AA46" s="139"/>
      <c r="AB46" s="139"/>
      <c r="AC46" s="139"/>
      <c r="AD46" s="140"/>
    </row>
    <row r="47" spans="2:36" ht="20.25" customHeight="1">
      <c r="B47" s="132"/>
      <c r="C47" s="133"/>
      <c r="D47" s="133"/>
      <c r="E47" s="133"/>
      <c r="F47" s="133"/>
      <c r="G47" s="133"/>
      <c r="H47" s="133"/>
      <c r="I47" s="133"/>
      <c r="J47" s="134"/>
      <c r="K47" s="135"/>
      <c r="L47" s="136"/>
      <c r="M47" s="136"/>
      <c r="N47" s="136"/>
      <c r="O47" s="136"/>
      <c r="P47" s="136"/>
      <c r="Q47" s="136"/>
      <c r="R47" s="136"/>
      <c r="S47" s="137"/>
      <c r="T47" s="141"/>
      <c r="U47" s="142"/>
      <c r="V47" s="142"/>
      <c r="W47" s="142"/>
      <c r="X47" s="142"/>
      <c r="Y47" s="142"/>
      <c r="Z47" s="142"/>
      <c r="AA47" s="142"/>
      <c r="AB47" s="142"/>
      <c r="AC47" s="142"/>
      <c r="AD47" s="143"/>
    </row>
    <row r="48" spans="2:36" ht="6.75" customHeight="1">
      <c r="B48" s="132" t="s">
        <v>46</v>
      </c>
      <c r="C48" s="133"/>
      <c r="D48" s="133"/>
      <c r="E48" s="133"/>
      <c r="F48" s="133"/>
      <c r="G48" s="133"/>
      <c r="H48" s="133"/>
      <c r="I48" s="133"/>
      <c r="J48" s="134"/>
      <c r="K48" s="135" t="s">
        <v>258</v>
      </c>
      <c r="L48" s="136"/>
      <c r="M48" s="136"/>
      <c r="N48" s="136"/>
      <c r="O48" s="136"/>
      <c r="P48" s="136"/>
      <c r="Q48" s="136"/>
      <c r="R48" s="136"/>
      <c r="S48" s="137"/>
      <c r="T48" s="138" t="s">
        <v>255</v>
      </c>
      <c r="U48" s="139"/>
      <c r="V48" s="139"/>
      <c r="W48" s="139"/>
      <c r="X48" s="139"/>
      <c r="Y48" s="139"/>
      <c r="Z48" s="139"/>
      <c r="AA48" s="139"/>
      <c r="AB48" s="139"/>
      <c r="AC48" s="139"/>
      <c r="AD48" s="140"/>
    </row>
    <row r="49" spans="2:30" ht="20.25" customHeight="1">
      <c r="B49" s="132"/>
      <c r="C49" s="133"/>
      <c r="D49" s="133"/>
      <c r="E49" s="133"/>
      <c r="F49" s="133"/>
      <c r="G49" s="133"/>
      <c r="H49" s="133"/>
      <c r="I49" s="133"/>
      <c r="J49" s="134"/>
      <c r="K49" s="135"/>
      <c r="L49" s="136"/>
      <c r="M49" s="136"/>
      <c r="N49" s="136"/>
      <c r="O49" s="136"/>
      <c r="P49" s="136"/>
      <c r="Q49" s="136"/>
      <c r="R49" s="136"/>
      <c r="S49" s="137"/>
      <c r="T49" s="141"/>
      <c r="U49" s="142"/>
      <c r="V49" s="142"/>
      <c r="W49" s="142"/>
      <c r="X49" s="142"/>
      <c r="Y49" s="142"/>
      <c r="Z49" s="142"/>
      <c r="AA49" s="142"/>
      <c r="AB49" s="142"/>
      <c r="AC49" s="142"/>
      <c r="AD49" s="143"/>
    </row>
    <row r="50" spans="2:30" ht="27" customHeight="1">
      <c r="B50" s="96" t="s">
        <v>47</v>
      </c>
      <c r="C50" s="97"/>
      <c r="D50" s="97"/>
      <c r="E50" s="97"/>
      <c r="F50" s="97"/>
      <c r="G50" s="97"/>
      <c r="H50" s="97"/>
      <c r="I50" s="97"/>
      <c r="J50" s="98"/>
      <c r="K50" s="144" t="s">
        <v>259</v>
      </c>
      <c r="L50" s="145"/>
      <c r="M50" s="145"/>
      <c r="N50" s="145"/>
      <c r="O50" s="145"/>
      <c r="P50" s="145"/>
      <c r="Q50" s="145"/>
      <c r="R50" s="145"/>
      <c r="S50" s="145"/>
      <c r="T50" s="145"/>
      <c r="U50" s="145"/>
      <c r="V50" s="145"/>
      <c r="W50" s="145"/>
      <c r="X50" s="145"/>
      <c r="Y50" s="145"/>
      <c r="Z50" s="145"/>
      <c r="AA50" s="145"/>
      <c r="AB50" s="145"/>
      <c r="AC50" s="145"/>
      <c r="AD50" s="146"/>
    </row>
    <row r="51" spans="2:30" ht="27" customHeight="1">
      <c r="B51" s="132" t="s">
        <v>159</v>
      </c>
      <c r="C51" s="133"/>
      <c r="D51" s="133"/>
      <c r="E51" s="133"/>
      <c r="F51" s="133"/>
      <c r="G51" s="133"/>
      <c r="H51" s="133"/>
      <c r="I51" s="133"/>
      <c r="J51" s="134"/>
      <c r="K51" s="136">
        <f>SF_Data!O2</f>
        <v>0</v>
      </c>
      <c r="L51" s="136"/>
      <c r="M51" s="136"/>
      <c r="N51" s="136"/>
      <c r="O51" s="136"/>
      <c r="P51" s="136"/>
      <c r="Q51" s="136"/>
      <c r="R51" s="136"/>
      <c r="S51" s="136"/>
      <c r="T51" s="136"/>
      <c r="U51" s="136"/>
      <c r="V51" s="136"/>
      <c r="W51" s="136"/>
      <c r="X51" s="136"/>
      <c r="Y51" s="136"/>
      <c r="Z51" s="136"/>
      <c r="AA51" s="136"/>
      <c r="AB51" s="136"/>
      <c r="AC51" s="136"/>
      <c r="AD51" s="137"/>
    </row>
    <row r="52" spans="2:30" ht="26.4" customHeight="1"/>
    <row r="53" spans="2:30" ht="20.25" customHeight="1">
      <c r="D53" s="66" t="str">
        <f>IF(SF_Data!AA2="-","","ホームページスペースサービスのご利用設定項目")</f>
        <v>ホームページスペースサービスのご利用設定項目</v>
      </c>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row>
    <row r="54" spans="2:30" ht="27" customHeight="1">
      <c r="B54" s="110" t="str">
        <f>IF(SF_Data!AA2="-","","お客様のホームページURL")</f>
        <v>お客様のホームページURL</v>
      </c>
      <c r="C54" s="110"/>
      <c r="D54" s="110"/>
      <c r="E54" s="110"/>
      <c r="F54" s="110"/>
      <c r="G54" s="110"/>
      <c r="H54" s="110"/>
      <c r="I54" s="110"/>
      <c r="J54" s="110"/>
      <c r="K54" s="131" t="str">
        <f>IF(SF_Data!AA2="-","","https://home.cs-contact.jp"&amp;"/~"&amp; SF_Data!AA2 &amp;"/")</f>
        <v>https://home.cs-contact.jp/~/</v>
      </c>
      <c r="L54" s="131"/>
      <c r="M54" s="131"/>
      <c r="N54" s="131"/>
      <c r="O54" s="131"/>
      <c r="P54" s="131"/>
      <c r="Q54" s="131"/>
      <c r="R54" s="131"/>
      <c r="S54" s="131"/>
      <c r="T54" s="131"/>
      <c r="U54" s="131"/>
      <c r="V54" s="131"/>
      <c r="W54" s="131"/>
      <c r="X54" s="131"/>
      <c r="Y54" s="131"/>
      <c r="Z54" s="131"/>
      <c r="AA54" s="131"/>
      <c r="AB54" s="131"/>
      <c r="AC54" s="131"/>
      <c r="AD54" s="131"/>
    </row>
    <row r="55" spans="2:30" ht="27" customHeight="1">
      <c r="B55" s="110" t="str">
        <f>IF(SF_Data!AA2="-","","ユーザー名")</f>
        <v>ユーザー名</v>
      </c>
      <c r="C55" s="110"/>
      <c r="D55" s="110"/>
      <c r="E55" s="110"/>
      <c r="F55" s="110"/>
      <c r="G55" s="110"/>
      <c r="H55" s="110"/>
      <c r="I55" s="110"/>
      <c r="J55" s="110"/>
      <c r="K55" s="131">
        <f>IF(SF_Data!AA2="-","",SF_Data!AA2)</f>
        <v>0</v>
      </c>
      <c r="L55" s="131"/>
      <c r="M55" s="131"/>
      <c r="N55" s="131"/>
      <c r="O55" s="131"/>
      <c r="P55" s="131"/>
      <c r="Q55" s="131"/>
      <c r="R55" s="131"/>
      <c r="S55" s="131"/>
      <c r="T55" s="131"/>
      <c r="U55" s="131"/>
      <c r="V55" s="131"/>
      <c r="W55" s="131"/>
      <c r="X55" s="131"/>
      <c r="Y55" s="131"/>
      <c r="Z55" s="131"/>
      <c r="AA55" s="131"/>
      <c r="AB55" s="131"/>
      <c r="AC55" s="131"/>
      <c r="AD55" s="131"/>
    </row>
    <row r="56" spans="2:30" ht="27" customHeight="1">
      <c r="B56" s="110" t="str">
        <f>IF(SF_Data!AA2="-","","FTPサーバーホスト名")</f>
        <v>FTPサーバーホスト名</v>
      </c>
      <c r="C56" s="110"/>
      <c r="D56" s="110"/>
      <c r="E56" s="110"/>
      <c r="F56" s="110"/>
      <c r="G56" s="110"/>
      <c r="H56" s="110"/>
      <c r="I56" s="110"/>
      <c r="J56" s="110"/>
      <c r="K56" s="131" t="str">
        <f>IF(SF_Data!AA2="-","","home.cs-contact.jp")</f>
        <v>home.cs-contact.jp</v>
      </c>
      <c r="L56" s="131"/>
      <c r="M56" s="131"/>
      <c r="N56" s="131"/>
      <c r="O56" s="131"/>
      <c r="P56" s="131"/>
      <c r="Q56" s="131"/>
      <c r="R56" s="131"/>
      <c r="S56" s="131"/>
      <c r="T56" s="131"/>
      <c r="U56" s="131"/>
      <c r="V56" s="131"/>
      <c r="W56" s="131"/>
      <c r="X56" s="131"/>
      <c r="Y56" s="131"/>
      <c r="Z56" s="131"/>
      <c r="AA56" s="131"/>
      <c r="AB56" s="131"/>
      <c r="AC56" s="131"/>
      <c r="AD56" s="131"/>
    </row>
    <row r="57" spans="2:30" ht="8.25" customHeight="1"/>
    <row r="58" spans="2:30" ht="8.25" customHeight="1"/>
    <row r="59" spans="2:30" ht="17.399999999999999" customHeight="1"/>
    <row r="60" spans="2:30" ht="20.25" customHeight="1">
      <c r="D60" s="66" t="s">
        <v>248</v>
      </c>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row>
    <row r="61" spans="2:30" ht="27" customHeight="1">
      <c r="B61" s="129" t="s">
        <v>21</v>
      </c>
      <c r="C61" s="129"/>
      <c r="D61" s="129"/>
      <c r="E61" s="129"/>
      <c r="F61" s="129"/>
      <c r="G61" s="129"/>
      <c r="H61" s="129"/>
      <c r="I61" s="129"/>
      <c r="J61" s="129"/>
      <c r="K61" s="130">
        <f>SF_Data!F2</f>
        <v>0</v>
      </c>
      <c r="L61" s="130"/>
      <c r="M61" s="130"/>
      <c r="N61" s="130"/>
      <c r="O61" s="130"/>
      <c r="P61" s="130"/>
      <c r="Q61" s="130"/>
      <c r="R61" s="130"/>
      <c r="S61" s="130"/>
      <c r="T61" s="130"/>
      <c r="U61" s="130"/>
      <c r="V61" s="130"/>
      <c r="W61" s="130"/>
      <c r="X61" s="130"/>
      <c r="Y61" s="130"/>
      <c r="Z61" s="130"/>
      <c r="AA61" s="130"/>
      <c r="AB61" s="130"/>
      <c r="AC61" s="130"/>
      <c r="AD61" s="130"/>
    </row>
    <row r="62" spans="2:30" ht="27" customHeight="1">
      <c r="B62" s="129" t="s">
        <v>48</v>
      </c>
      <c r="C62" s="129"/>
      <c r="D62" s="129"/>
      <c r="E62" s="129"/>
      <c r="F62" s="129"/>
      <c r="G62" s="129"/>
      <c r="H62" s="129"/>
      <c r="I62" s="129"/>
      <c r="J62" s="129"/>
      <c r="K62" s="130">
        <f>SF_Data!P2</f>
        <v>0</v>
      </c>
      <c r="L62" s="130"/>
      <c r="M62" s="130"/>
      <c r="N62" s="130"/>
      <c r="O62" s="130"/>
      <c r="P62" s="130"/>
      <c r="Q62" s="130"/>
      <c r="R62" s="130"/>
      <c r="S62" s="130"/>
      <c r="T62" s="130"/>
      <c r="U62" s="130"/>
      <c r="V62" s="130"/>
      <c r="W62" s="130"/>
      <c r="X62" s="130"/>
      <c r="Y62" s="130"/>
      <c r="Z62" s="130"/>
      <c r="AA62" s="130"/>
      <c r="AB62" s="130"/>
      <c r="AC62" s="130"/>
      <c r="AD62" s="130"/>
    </row>
    <row r="63" spans="2:30" ht="27" customHeight="1">
      <c r="B63" s="129" t="s">
        <v>49</v>
      </c>
      <c r="C63" s="129"/>
      <c r="D63" s="129"/>
      <c r="E63" s="129"/>
      <c r="F63" s="129"/>
      <c r="G63" s="129"/>
      <c r="H63" s="129"/>
      <c r="I63" s="129"/>
      <c r="J63" s="129"/>
      <c r="K63" s="130">
        <f>SF_Data!Q2</f>
        <v>0</v>
      </c>
      <c r="L63" s="130"/>
      <c r="M63" s="130"/>
      <c r="N63" s="130"/>
      <c r="O63" s="130"/>
      <c r="P63" s="130"/>
      <c r="Q63" s="130"/>
      <c r="R63" s="130"/>
      <c r="S63" s="130"/>
      <c r="T63" s="130"/>
      <c r="U63" s="130"/>
      <c r="V63" s="130"/>
      <c r="W63" s="130"/>
      <c r="X63" s="130"/>
      <c r="Y63" s="130"/>
      <c r="Z63" s="130"/>
      <c r="AA63" s="130"/>
      <c r="AB63" s="130"/>
      <c r="AC63" s="130"/>
      <c r="AD63" s="130"/>
    </row>
    <row r="64" spans="2:30" ht="6" customHeight="1">
      <c r="B64" s="17"/>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6"/>
    </row>
    <row r="65" spans="2:39" ht="11.4" customHeight="1">
      <c r="B65" s="74" t="s">
        <v>267</v>
      </c>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115"/>
    </row>
    <row r="66" spans="2:39" ht="11.4" customHeight="1">
      <c r="B66" s="116" t="s">
        <v>271</v>
      </c>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8"/>
    </row>
    <row r="67" spans="2:39" ht="11.4" customHeight="1">
      <c r="B67" s="74" t="s">
        <v>268</v>
      </c>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115"/>
    </row>
    <row r="68" spans="2:39" ht="11.4" customHeight="1">
      <c r="B68" s="116" t="s">
        <v>272</v>
      </c>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8"/>
    </row>
    <row r="69" spans="2:39" ht="6" customHeight="1">
      <c r="B69" s="119" t="s">
        <v>269</v>
      </c>
      <c r="C69" s="120"/>
      <c r="D69" s="120"/>
      <c r="E69" s="120"/>
      <c r="F69" s="120"/>
      <c r="G69" s="120"/>
      <c r="H69" s="120"/>
      <c r="I69" s="120"/>
      <c r="J69" s="120"/>
      <c r="K69" s="120"/>
      <c r="L69" s="120"/>
      <c r="M69" s="120"/>
      <c r="N69" s="120"/>
      <c r="O69" s="120"/>
      <c r="P69" s="120"/>
      <c r="Q69" s="120"/>
      <c r="R69" s="120"/>
      <c r="S69" s="120"/>
      <c r="T69" s="120"/>
      <c r="U69" s="120"/>
      <c r="V69" s="120"/>
      <c r="W69" s="120"/>
      <c r="X69" s="120"/>
      <c r="Y69" s="120"/>
      <c r="Z69" s="120"/>
      <c r="AA69" s="120"/>
      <c r="AB69" s="120"/>
      <c r="AC69" s="120"/>
      <c r="AD69" s="121"/>
    </row>
    <row r="70" spans="2:39" ht="18" customHeight="1"/>
    <row r="71" spans="2:39" ht="20.25" customHeight="1">
      <c r="D71" s="66" t="s">
        <v>55</v>
      </c>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row>
    <row r="72" spans="2:39" ht="4.2" customHeight="1">
      <c r="B72" s="93" t="s">
        <v>56</v>
      </c>
      <c r="C72" s="94"/>
      <c r="D72" s="94"/>
      <c r="E72" s="94"/>
      <c r="F72" s="94"/>
      <c r="G72" s="94"/>
      <c r="H72" s="94"/>
      <c r="I72" s="94"/>
      <c r="J72" s="95"/>
      <c r="K72" s="8"/>
      <c r="L72" s="9"/>
      <c r="M72" s="9"/>
      <c r="N72" s="9"/>
      <c r="O72" s="9"/>
      <c r="P72" s="9"/>
      <c r="Q72" s="9"/>
      <c r="R72" s="9"/>
      <c r="S72" s="9"/>
      <c r="T72" s="9"/>
      <c r="U72" s="9"/>
      <c r="V72" s="9"/>
      <c r="W72" s="9"/>
      <c r="X72" s="9"/>
      <c r="Y72" s="9"/>
      <c r="Z72" s="9"/>
      <c r="AA72" s="9"/>
      <c r="AB72" s="9"/>
      <c r="AC72" s="9"/>
      <c r="AD72" s="10"/>
    </row>
    <row r="73" spans="2:39" ht="12.6" customHeight="1">
      <c r="B73" s="96"/>
      <c r="C73" s="97"/>
      <c r="D73" s="97"/>
      <c r="E73" s="97"/>
      <c r="F73" s="97"/>
      <c r="G73" s="97"/>
      <c r="H73" s="97"/>
      <c r="I73" s="97"/>
      <c r="J73" s="98"/>
      <c r="K73" s="14"/>
      <c r="L73" s="122" t="s">
        <v>161</v>
      </c>
      <c r="M73" s="122"/>
      <c r="N73" s="122"/>
      <c r="O73" s="122"/>
      <c r="P73" s="122"/>
      <c r="Q73" s="122"/>
      <c r="R73" s="122"/>
      <c r="S73" s="122"/>
      <c r="T73" s="122"/>
      <c r="U73" s="122"/>
      <c r="V73" s="122"/>
      <c r="W73" s="122"/>
      <c r="X73" s="122"/>
      <c r="Y73" s="122"/>
      <c r="Z73" s="122"/>
      <c r="AA73" s="122"/>
      <c r="AB73" s="122"/>
      <c r="AC73" s="122"/>
      <c r="AD73" s="123"/>
    </row>
    <row r="74" spans="2:39" ht="12.6" customHeight="1">
      <c r="B74" s="96"/>
      <c r="C74" s="97"/>
      <c r="D74" s="97"/>
      <c r="E74" s="97"/>
      <c r="F74" s="97"/>
      <c r="G74" s="97"/>
      <c r="H74" s="97"/>
      <c r="I74" s="97"/>
      <c r="J74" s="98"/>
      <c r="K74" s="14"/>
      <c r="L74" s="122" t="s">
        <v>57</v>
      </c>
      <c r="M74" s="122"/>
      <c r="N74" s="122"/>
      <c r="O74" s="122"/>
      <c r="P74" s="122"/>
      <c r="Q74" s="122"/>
      <c r="R74" s="122"/>
      <c r="S74" s="122"/>
      <c r="T74" s="122"/>
      <c r="U74" s="122"/>
      <c r="V74" s="122"/>
      <c r="W74" s="122"/>
      <c r="X74" s="122"/>
      <c r="Y74" s="122"/>
      <c r="Z74" s="122"/>
      <c r="AA74" s="122"/>
      <c r="AB74" s="122"/>
      <c r="AC74" s="122"/>
      <c r="AD74" s="123"/>
    </row>
    <row r="75" spans="2:39" ht="12.6" customHeight="1">
      <c r="B75" s="96"/>
      <c r="C75" s="97"/>
      <c r="D75" s="97"/>
      <c r="E75" s="97"/>
      <c r="F75" s="97"/>
      <c r="G75" s="97"/>
      <c r="H75" s="97"/>
      <c r="I75" s="97"/>
      <c r="J75" s="98"/>
      <c r="K75" s="14"/>
      <c r="L75" s="122" t="s">
        <v>58</v>
      </c>
      <c r="M75" s="122"/>
      <c r="N75" s="122"/>
      <c r="O75" s="122"/>
      <c r="P75" s="122"/>
      <c r="Q75" s="122"/>
      <c r="R75" s="122"/>
      <c r="S75" s="122"/>
      <c r="T75" s="122"/>
      <c r="U75" s="122"/>
      <c r="V75" s="122"/>
      <c r="W75" s="122"/>
      <c r="X75" s="122"/>
      <c r="Y75" s="122"/>
      <c r="Z75" s="122"/>
      <c r="AA75" s="122"/>
      <c r="AB75" s="122"/>
      <c r="AC75" s="122"/>
      <c r="AD75" s="123"/>
    </row>
    <row r="76" spans="2:39" ht="4.2" customHeight="1">
      <c r="B76" s="99"/>
      <c r="C76" s="100"/>
      <c r="D76" s="100"/>
      <c r="E76" s="100"/>
      <c r="F76" s="100"/>
      <c r="G76" s="100"/>
      <c r="H76" s="100"/>
      <c r="I76" s="100"/>
      <c r="J76" s="101"/>
      <c r="K76" s="11"/>
      <c r="L76" s="12"/>
      <c r="M76" s="12"/>
      <c r="N76" s="12"/>
      <c r="O76" s="12"/>
      <c r="P76" s="12"/>
      <c r="Q76" s="12"/>
      <c r="R76" s="12"/>
      <c r="S76" s="12"/>
      <c r="T76" s="12"/>
      <c r="U76" s="12"/>
      <c r="V76" s="12"/>
      <c r="W76" s="12"/>
      <c r="X76" s="12"/>
      <c r="Y76" s="12"/>
      <c r="Z76" s="12"/>
      <c r="AA76" s="12"/>
      <c r="AB76" s="12"/>
      <c r="AC76" s="12"/>
      <c r="AD76" s="13"/>
    </row>
    <row r="77" spans="2:39" ht="18" customHeight="1"/>
    <row r="78" spans="2:39" ht="16.95" customHeight="1">
      <c r="D78" s="66" t="s">
        <v>59</v>
      </c>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row>
    <row r="79" spans="2:39" ht="14.4" customHeight="1">
      <c r="B79" s="44"/>
      <c r="C79" s="45"/>
      <c r="D79" s="45"/>
      <c r="E79" s="45"/>
      <c r="F79" s="45"/>
      <c r="G79" s="106" t="s">
        <v>60</v>
      </c>
      <c r="H79" s="107"/>
      <c r="I79" s="107"/>
      <c r="J79" s="107"/>
      <c r="K79" s="107"/>
      <c r="L79" s="107"/>
      <c r="M79" s="107"/>
      <c r="N79" s="107"/>
      <c r="O79" s="107"/>
      <c r="P79" s="108"/>
      <c r="Q79" s="124" t="str">
        <f>IF(SF_Data!R2="","-",SF_Data!R2)</f>
        <v>-</v>
      </c>
      <c r="R79" s="125"/>
      <c r="S79" s="125"/>
      <c r="T79" s="127" t="str">
        <f>IF(SF_Data!R2="","","非課税")</f>
        <v/>
      </c>
      <c r="U79" s="127"/>
      <c r="V79" s="127"/>
      <c r="W79" s="127"/>
      <c r="X79" s="127"/>
      <c r="Y79" s="127"/>
      <c r="Z79" s="127"/>
      <c r="AA79" s="127"/>
      <c r="AB79" s="127"/>
      <c r="AC79" s="127"/>
      <c r="AD79" s="128"/>
      <c r="AK79" s="54" t="s">
        <v>287</v>
      </c>
      <c r="AL79" s="54"/>
      <c r="AM79" s="54"/>
    </row>
    <row r="80" spans="2:39" ht="18.600000000000001" customHeight="1">
      <c r="B80" s="46"/>
      <c r="C80" s="47"/>
      <c r="D80" s="47"/>
      <c r="E80" s="47"/>
      <c r="F80" s="47"/>
      <c r="G80" s="112"/>
      <c r="H80" s="113"/>
      <c r="I80" s="113"/>
      <c r="J80" s="113"/>
      <c r="K80" s="113"/>
      <c r="L80" s="113"/>
      <c r="M80" s="113"/>
      <c r="N80" s="113"/>
      <c r="O80" s="113"/>
      <c r="P80" s="114"/>
      <c r="Q80" s="124"/>
      <c r="R80" s="125"/>
      <c r="S80" s="125"/>
      <c r="T80" s="127"/>
      <c r="U80" s="127"/>
      <c r="V80" s="127"/>
      <c r="W80" s="127"/>
      <c r="X80" s="127"/>
      <c r="Y80" s="127"/>
      <c r="Z80" s="127"/>
      <c r="AA80" s="127"/>
      <c r="AB80" s="127"/>
      <c r="AC80" s="127"/>
      <c r="AD80" s="128"/>
      <c r="AI80" s="3"/>
      <c r="AK80" s="54" t="s">
        <v>286</v>
      </c>
      <c r="AL80" s="54"/>
      <c r="AM80" s="54"/>
    </row>
    <row r="81" spans="2:39" ht="14.4" customHeight="1">
      <c r="B81" s="46"/>
      <c r="C81" s="47"/>
      <c r="D81" s="47"/>
      <c r="E81" s="47"/>
      <c r="F81" s="47"/>
      <c r="G81" s="106" t="s">
        <v>61</v>
      </c>
      <c r="H81" s="107"/>
      <c r="I81" s="107"/>
      <c r="J81" s="107"/>
      <c r="K81" s="107"/>
      <c r="L81" s="107"/>
      <c r="M81" s="107"/>
      <c r="N81" s="107"/>
      <c r="O81" s="107"/>
      <c r="P81" s="108"/>
      <c r="Q81" s="76">
        <f>IF(SF_Data!Z2="-","-",SF_Data!S2)</f>
        <v>0</v>
      </c>
      <c r="R81" s="77"/>
      <c r="S81" s="77"/>
      <c r="T81" s="126" t="str">
        <f>IF(SF_Data!Z2="-","","10%対象 内税：")</f>
        <v>10%対象 内税：</v>
      </c>
      <c r="U81" s="126"/>
      <c r="V81" s="126"/>
      <c r="W81" s="126"/>
      <c r="X81" s="126"/>
      <c r="Y81" s="126"/>
      <c r="Z81" s="78">
        <f>IF(SF_Data!Z2="-","",ROUNDDOWN(Q81/1.1*0.1,0))</f>
        <v>0</v>
      </c>
      <c r="AA81" s="78"/>
      <c r="AB81" s="78"/>
      <c r="AC81" s="78"/>
      <c r="AD81" s="79"/>
      <c r="AK81" s="54" t="s">
        <v>288</v>
      </c>
      <c r="AL81" s="54"/>
      <c r="AM81" s="54"/>
    </row>
    <row r="82" spans="2:39" ht="18" customHeight="1">
      <c r="B82" s="104" t="s">
        <v>62</v>
      </c>
      <c r="C82" s="105"/>
      <c r="D82" s="105"/>
      <c r="E82" s="105"/>
      <c r="F82" s="105"/>
      <c r="G82" s="109"/>
      <c r="H82" s="110"/>
      <c r="I82" s="110"/>
      <c r="J82" s="110"/>
      <c r="K82" s="110"/>
      <c r="L82" s="110"/>
      <c r="M82" s="110"/>
      <c r="N82" s="110"/>
      <c r="O82" s="110"/>
      <c r="P82" s="111"/>
      <c r="Q82" s="76"/>
      <c r="R82" s="77"/>
      <c r="S82" s="77"/>
      <c r="T82" s="126"/>
      <c r="U82" s="126"/>
      <c r="V82" s="126"/>
      <c r="W82" s="126"/>
      <c r="X82" s="126"/>
      <c r="Y82" s="126"/>
      <c r="Z82" s="78"/>
      <c r="AA82" s="78"/>
      <c r="AB82" s="78"/>
      <c r="AC82" s="78"/>
      <c r="AD82" s="79"/>
      <c r="AK82" s="54" t="s">
        <v>289</v>
      </c>
      <c r="AL82" s="54"/>
      <c r="AM82" s="54"/>
    </row>
    <row r="83" spans="2:39" ht="6" customHeight="1">
      <c r="B83" s="104"/>
      <c r="C83" s="105"/>
      <c r="D83" s="105"/>
      <c r="E83" s="105"/>
      <c r="F83" s="105"/>
      <c r="G83" s="106" t="s">
        <v>63</v>
      </c>
      <c r="H83" s="107"/>
      <c r="I83" s="107"/>
      <c r="J83" s="107"/>
      <c r="K83" s="107"/>
      <c r="L83" s="107"/>
      <c r="M83" s="107"/>
      <c r="N83" s="107"/>
      <c r="O83" s="107"/>
      <c r="P83" s="108"/>
      <c r="Q83" s="76">
        <f>IF(SF_Data!Z2="-","-",SF_Data!T2)</f>
        <v>0</v>
      </c>
      <c r="R83" s="77"/>
      <c r="S83" s="77"/>
      <c r="T83" s="78" t="str">
        <f>IF(SF_Data!Z2="-","","10％対象 内税：")</f>
        <v>10％対象 内税：</v>
      </c>
      <c r="U83" s="78"/>
      <c r="V83" s="78"/>
      <c r="W83" s="78"/>
      <c r="X83" s="78"/>
      <c r="Y83" s="78"/>
      <c r="Z83" s="78">
        <f>IF(SF_Data!Z2="-","",ROUNDDOWN(Q83/1.1*0.1,0))</f>
        <v>0</v>
      </c>
      <c r="AA83" s="78"/>
      <c r="AB83" s="78"/>
      <c r="AC83" s="78"/>
      <c r="AD83" s="79"/>
      <c r="AK83" s="60" t="s">
        <v>290</v>
      </c>
      <c r="AL83" s="60"/>
      <c r="AM83" s="60"/>
    </row>
    <row r="84" spans="2:39" ht="4.8" customHeight="1">
      <c r="B84" s="104"/>
      <c r="C84" s="105"/>
      <c r="D84" s="105"/>
      <c r="E84" s="105"/>
      <c r="F84" s="105"/>
      <c r="G84" s="109"/>
      <c r="H84" s="110"/>
      <c r="I84" s="110"/>
      <c r="J84" s="110"/>
      <c r="K84" s="110"/>
      <c r="L84" s="110"/>
      <c r="M84" s="110"/>
      <c r="N84" s="110"/>
      <c r="O84" s="110"/>
      <c r="P84" s="111"/>
      <c r="Q84" s="76"/>
      <c r="R84" s="77"/>
      <c r="S84" s="77"/>
      <c r="T84" s="78"/>
      <c r="U84" s="78"/>
      <c r="V84" s="78"/>
      <c r="W84" s="78"/>
      <c r="X84" s="78"/>
      <c r="Y84" s="78"/>
      <c r="Z84" s="78"/>
      <c r="AA84" s="78"/>
      <c r="AB84" s="78"/>
      <c r="AC84" s="78"/>
      <c r="AD84" s="79"/>
      <c r="AK84" s="60"/>
      <c r="AL84" s="60"/>
      <c r="AM84" s="60"/>
    </row>
    <row r="85" spans="2:39" ht="7.2" customHeight="1">
      <c r="B85" s="46"/>
      <c r="C85" s="47"/>
      <c r="D85" s="47"/>
      <c r="E85" s="47"/>
      <c r="F85" s="47"/>
      <c r="G85" s="109"/>
      <c r="H85" s="110"/>
      <c r="I85" s="110"/>
      <c r="J85" s="110"/>
      <c r="K85" s="110"/>
      <c r="L85" s="110"/>
      <c r="M85" s="110"/>
      <c r="N85" s="110"/>
      <c r="O85" s="110"/>
      <c r="P85" s="111"/>
      <c r="Q85" s="76"/>
      <c r="R85" s="77"/>
      <c r="S85" s="77"/>
      <c r="T85" s="78"/>
      <c r="U85" s="78"/>
      <c r="V85" s="78"/>
      <c r="W85" s="78"/>
      <c r="X85" s="78"/>
      <c r="Y85" s="78"/>
      <c r="Z85" s="78"/>
      <c r="AA85" s="78"/>
      <c r="AB85" s="78"/>
      <c r="AC85" s="78"/>
      <c r="AD85" s="79"/>
      <c r="AK85" s="60"/>
      <c r="AL85" s="60"/>
      <c r="AM85" s="60"/>
    </row>
    <row r="86" spans="2:39" ht="13.8" customHeight="1">
      <c r="B86" s="46"/>
      <c r="C86" s="47"/>
      <c r="D86" s="47"/>
      <c r="E86" s="47"/>
      <c r="F86" s="47"/>
      <c r="G86" s="61" t="s">
        <v>162</v>
      </c>
      <c r="H86" s="62"/>
      <c r="I86" s="62"/>
      <c r="J86" s="62"/>
      <c r="K86" s="62"/>
      <c r="L86" s="62"/>
      <c r="M86" s="62"/>
      <c r="N86" s="62"/>
      <c r="O86" s="62"/>
      <c r="P86" s="63"/>
      <c r="Q86" s="76"/>
      <c r="R86" s="77"/>
      <c r="S86" s="77"/>
      <c r="T86" s="78"/>
      <c r="U86" s="78"/>
      <c r="V86" s="78"/>
      <c r="W86" s="78"/>
      <c r="X86" s="78"/>
      <c r="Y86" s="78"/>
      <c r="Z86" s="78"/>
      <c r="AA86" s="78"/>
      <c r="AB86" s="78"/>
      <c r="AC86" s="78"/>
      <c r="AD86" s="79"/>
      <c r="AK86" s="54" t="s">
        <v>291</v>
      </c>
      <c r="AL86" s="54"/>
      <c r="AM86" s="54"/>
    </row>
    <row r="87" spans="2:39" ht="6.75" customHeight="1">
      <c r="B87" s="46"/>
      <c r="C87" s="47"/>
      <c r="D87" s="47"/>
      <c r="E87" s="47"/>
      <c r="F87" s="47"/>
      <c r="G87" s="81" t="s">
        <v>63</v>
      </c>
      <c r="H87" s="82"/>
      <c r="I87" s="82"/>
      <c r="J87" s="82"/>
      <c r="K87" s="82"/>
      <c r="L87" s="82"/>
      <c r="M87" s="82"/>
      <c r="N87" s="82"/>
      <c r="O87" s="82"/>
      <c r="P87" s="83"/>
      <c r="Q87" s="76">
        <f>IF(SF_Data!Z2="-","-",SF_Data!U2)</f>
        <v>0</v>
      </c>
      <c r="R87" s="77"/>
      <c r="S87" s="77"/>
      <c r="T87" s="78" t="str">
        <f>IF(SF_Data!Z2="-","","10%対象 内税：")</f>
        <v>10%対象 内税：</v>
      </c>
      <c r="U87" s="78"/>
      <c r="V87" s="78"/>
      <c r="W87" s="78"/>
      <c r="X87" s="78"/>
      <c r="Y87" s="78"/>
      <c r="Z87" s="78">
        <f>IF(SF_Data!Z2="-","",ROUNDDOWN(Q87/1.1*0.1,0))</f>
        <v>0</v>
      </c>
      <c r="AA87" s="78"/>
      <c r="AB87" s="78"/>
      <c r="AC87" s="78"/>
      <c r="AD87" s="79"/>
      <c r="AK87" s="60" t="s">
        <v>292</v>
      </c>
      <c r="AL87" s="60"/>
      <c r="AM87" s="60"/>
    </row>
    <row r="88" spans="2:39" ht="10.8" customHeight="1">
      <c r="B88" s="46"/>
      <c r="C88" s="47"/>
      <c r="D88" s="47"/>
      <c r="E88" s="47"/>
      <c r="F88" s="47"/>
      <c r="G88" s="84"/>
      <c r="H88" s="85"/>
      <c r="I88" s="85"/>
      <c r="J88" s="85"/>
      <c r="K88" s="85"/>
      <c r="L88" s="85"/>
      <c r="M88" s="85"/>
      <c r="N88" s="85"/>
      <c r="O88" s="85"/>
      <c r="P88" s="86"/>
      <c r="Q88" s="76"/>
      <c r="R88" s="77"/>
      <c r="S88" s="77"/>
      <c r="T88" s="78"/>
      <c r="U88" s="78"/>
      <c r="V88" s="78"/>
      <c r="W88" s="78"/>
      <c r="X88" s="78"/>
      <c r="Y88" s="78"/>
      <c r="Z88" s="78"/>
      <c r="AA88" s="78"/>
      <c r="AB88" s="78"/>
      <c r="AC88" s="78"/>
      <c r="AD88" s="79"/>
      <c r="AK88" s="60"/>
      <c r="AL88" s="60"/>
      <c r="AM88" s="60"/>
    </row>
    <row r="89" spans="2:39" ht="6.75" customHeight="1">
      <c r="B89" s="46"/>
      <c r="C89" s="47"/>
      <c r="D89" s="47"/>
      <c r="E89" s="47"/>
      <c r="F89" s="47"/>
      <c r="G89" s="87" t="s">
        <v>64</v>
      </c>
      <c r="H89" s="88"/>
      <c r="I89" s="88"/>
      <c r="J89" s="88"/>
      <c r="K89" s="88"/>
      <c r="L89" s="88"/>
      <c r="M89" s="88"/>
      <c r="N89" s="88"/>
      <c r="O89" s="88"/>
      <c r="P89" s="89"/>
      <c r="Q89" s="76"/>
      <c r="R89" s="77"/>
      <c r="S89" s="77"/>
      <c r="T89" s="78"/>
      <c r="U89" s="78"/>
      <c r="V89" s="78"/>
      <c r="W89" s="78"/>
      <c r="X89" s="78"/>
      <c r="Y89" s="78"/>
      <c r="Z89" s="78"/>
      <c r="AA89" s="78"/>
      <c r="AB89" s="78"/>
      <c r="AC89" s="78"/>
      <c r="AD89" s="79"/>
      <c r="AK89" s="73" t="s">
        <v>294</v>
      </c>
      <c r="AL89" s="54"/>
      <c r="AM89" s="54"/>
    </row>
    <row r="90" spans="2:39" ht="7.8" customHeight="1">
      <c r="B90" s="48"/>
      <c r="C90" s="49"/>
      <c r="D90" s="49"/>
      <c r="E90" s="49"/>
      <c r="F90" s="49"/>
      <c r="G90" s="90"/>
      <c r="H90" s="91"/>
      <c r="I90" s="91"/>
      <c r="J90" s="91"/>
      <c r="K90" s="91"/>
      <c r="L90" s="91"/>
      <c r="M90" s="91"/>
      <c r="N90" s="91"/>
      <c r="O90" s="91"/>
      <c r="P90" s="92"/>
      <c r="Q90" s="76"/>
      <c r="R90" s="77"/>
      <c r="S90" s="77"/>
      <c r="T90" s="78"/>
      <c r="U90" s="78"/>
      <c r="V90" s="78"/>
      <c r="W90" s="78"/>
      <c r="X90" s="78"/>
      <c r="Y90" s="78"/>
      <c r="Z90" s="78"/>
      <c r="AA90" s="78"/>
      <c r="AB90" s="78"/>
      <c r="AC90" s="78"/>
      <c r="AD90" s="79"/>
      <c r="AI90" s="1"/>
      <c r="AK90" s="73"/>
      <c r="AL90" s="54"/>
      <c r="AM90" s="54"/>
    </row>
    <row r="91" spans="2:39" ht="4.2" customHeight="1">
      <c r="B91" s="52"/>
      <c r="C91" s="52"/>
      <c r="D91" s="52"/>
      <c r="E91" s="52"/>
      <c r="F91" s="52"/>
      <c r="G91" s="52"/>
      <c r="H91" s="52"/>
      <c r="I91" s="52"/>
      <c r="J91" s="52"/>
      <c r="K91" s="52"/>
      <c r="L91" s="52"/>
      <c r="M91" s="52"/>
      <c r="N91" s="52"/>
      <c r="O91" s="52"/>
      <c r="P91" s="52"/>
      <c r="AK91" s="54"/>
      <c r="AL91" s="54"/>
      <c r="AM91" s="54"/>
    </row>
    <row r="92" spans="2:39" ht="34.799999999999997" customHeight="1">
      <c r="B92" s="69" t="str">
        <f>IF(SF_Data!Z2="-",""," ・　ご契約のプランや詳細については、別途ご契約に関する書面「手続き完了のご案内」を同封しております。
　   本書「ご利用通知」、「手続き完了のご案内」、取引年月日を示す通帳等の保管を組み合わせることで、 インボイス制度における
　 　仕入税控除額の適用条件を満たします。")</f>
        <v xml:space="preserve"> ・　ご契約のプランや詳細については、別途ご契約に関する書面「手続き完了のご案内」を同封しております。
　   本書「ご利用通知」、「手続き完了のご案内」、取引年月日を示す通帳等の保管を組み合わせることで、 インボイス制度における
　 　仕入税控除額の適用条件を満たします。</v>
      </c>
      <c r="C92" s="69"/>
      <c r="D92" s="69"/>
      <c r="E92" s="69"/>
      <c r="F92" s="69"/>
      <c r="G92" s="69"/>
      <c r="H92" s="69"/>
      <c r="I92" s="69"/>
      <c r="J92" s="69"/>
      <c r="K92" s="69"/>
      <c r="L92" s="69"/>
      <c r="M92" s="69"/>
      <c r="N92" s="69"/>
      <c r="O92" s="69"/>
      <c r="P92" s="69"/>
      <c r="Q92" s="69"/>
      <c r="R92" s="69"/>
      <c r="S92" s="69"/>
      <c r="T92" s="69"/>
      <c r="U92" s="69"/>
      <c r="V92" s="69"/>
      <c r="W92" s="69"/>
      <c r="X92" s="69"/>
      <c r="Y92" s="69"/>
      <c r="Z92" s="69"/>
      <c r="AA92" s="69"/>
      <c r="AB92" s="69"/>
      <c r="AC92" s="69"/>
      <c r="AK92" s="54" t="s">
        <v>293</v>
      </c>
      <c r="AL92" s="54"/>
      <c r="AM92" s="54"/>
    </row>
    <row r="93" spans="2:39" ht="4.2" customHeight="1">
      <c r="B93" s="53"/>
      <c r="C93" s="53"/>
      <c r="D93" s="53"/>
      <c r="E93" s="53"/>
      <c r="F93" s="53"/>
      <c r="G93" s="53"/>
      <c r="H93" s="53"/>
      <c r="I93" s="53"/>
      <c r="J93" s="53"/>
      <c r="K93" s="53"/>
      <c r="L93" s="53"/>
      <c r="M93" s="53"/>
      <c r="N93" s="53"/>
      <c r="O93" s="53"/>
      <c r="P93" s="53"/>
      <c r="Q93" s="53"/>
      <c r="R93" s="53"/>
      <c r="S93" s="53"/>
      <c r="T93" s="53"/>
      <c r="U93" s="53"/>
    </row>
    <row r="94" spans="2:39" ht="12" customHeight="1"/>
    <row r="95" spans="2:39" ht="20.25" customHeight="1">
      <c r="D95" s="66" t="s">
        <v>65</v>
      </c>
      <c r="E95" s="66"/>
      <c r="F95" s="66"/>
      <c r="G95" s="66"/>
      <c r="H95" s="66"/>
      <c r="I95" s="66"/>
      <c r="J95" s="66"/>
      <c r="K95" s="66"/>
      <c r="L95" s="66"/>
      <c r="M95" s="66"/>
      <c r="N95" s="66"/>
      <c r="O95" s="66"/>
      <c r="P95" s="66"/>
      <c r="Q95" s="66"/>
      <c r="R95" s="66"/>
      <c r="S95" s="66"/>
      <c r="T95" s="66"/>
      <c r="U95" s="66"/>
      <c r="V95" s="66"/>
      <c r="W95" s="66"/>
      <c r="X95" s="66"/>
      <c r="Y95" s="66"/>
      <c r="Z95" s="66"/>
      <c r="AA95" s="66"/>
      <c r="AB95" s="66"/>
      <c r="AC95" s="66"/>
      <c r="AD95" s="66"/>
    </row>
    <row r="96" spans="2:39" ht="6.75" customHeight="1">
      <c r="B96" s="93" t="s">
        <v>66</v>
      </c>
      <c r="C96" s="94"/>
      <c r="D96" s="94"/>
      <c r="E96" s="94"/>
      <c r="F96" s="95"/>
      <c r="G96" s="8"/>
      <c r="H96" s="9"/>
      <c r="I96" s="9"/>
      <c r="J96" s="9"/>
      <c r="K96" s="9"/>
      <c r="L96" s="9"/>
      <c r="M96" s="9"/>
      <c r="N96" s="9"/>
      <c r="O96" s="9"/>
      <c r="P96" s="9"/>
      <c r="Q96" s="9"/>
      <c r="R96" s="9"/>
      <c r="S96" s="9"/>
      <c r="T96" s="9"/>
      <c r="U96" s="9"/>
      <c r="V96" s="9"/>
      <c r="W96" s="9"/>
      <c r="X96" s="9"/>
      <c r="Y96" s="9"/>
      <c r="Z96" s="9"/>
      <c r="AA96" s="9"/>
      <c r="AB96" s="9"/>
      <c r="AC96" s="52"/>
      <c r="AD96" s="55"/>
    </row>
    <row r="97" spans="2:30" ht="13.5" customHeight="1">
      <c r="B97" s="96"/>
      <c r="C97" s="97"/>
      <c r="D97" s="97"/>
      <c r="E97" s="97"/>
      <c r="F97" s="98"/>
      <c r="G97" s="14"/>
      <c r="H97" s="69" t="s">
        <v>67</v>
      </c>
      <c r="I97" s="69"/>
      <c r="J97" s="69"/>
      <c r="K97" s="69"/>
      <c r="L97" s="69"/>
      <c r="M97" s="69"/>
      <c r="N97" s="69"/>
      <c r="O97" s="69"/>
      <c r="P97" s="69"/>
      <c r="Q97" s="69"/>
      <c r="R97" s="69"/>
      <c r="S97" s="69"/>
      <c r="T97" s="69"/>
      <c r="U97" s="69"/>
      <c r="V97" s="69"/>
      <c r="W97" s="69"/>
      <c r="X97" s="69"/>
      <c r="Y97" s="69"/>
      <c r="Z97" s="69"/>
      <c r="AA97" s="69"/>
      <c r="AB97" s="69"/>
      <c r="AD97" s="15"/>
    </row>
    <row r="98" spans="2:30" ht="13.5" customHeight="1">
      <c r="B98" s="96"/>
      <c r="C98" s="97"/>
      <c r="D98" s="97"/>
      <c r="E98" s="97"/>
      <c r="F98" s="98"/>
      <c r="G98" s="14"/>
      <c r="H98" s="69" t="s">
        <v>68</v>
      </c>
      <c r="I98" s="69"/>
      <c r="J98" s="69"/>
      <c r="K98" s="69"/>
      <c r="L98" s="69"/>
      <c r="M98" s="69"/>
      <c r="N98" s="69"/>
      <c r="O98" s="69"/>
      <c r="P98" s="69"/>
      <c r="Q98" s="69"/>
      <c r="R98" s="69"/>
      <c r="S98" s="69"/>
      <c r="T98" s="69"/>
      <c r="U98" s="69"/>
      <c r="V98" s="69"/>
      <c r="W98" s="69"/>
      <c r="X98" s="69"/>
      <c r="Y98" s="69"/>
      <c r="Z98" s="69"/>
      <c r="AA98" s="69"/>
      <c r="AB98" s="69"/>
      <c r="AD98" s="15"/>
    </row>
    <row r="99" spans="2:30" ht="13.5" customHeight="1">
      <c r="B99" s="96"/>
      <c r="C99" s="97"/>
      <c r="D99" s="97"/>
      <c r="E99" s="97"/>
      <c r="F99" s="98"/>
      <c r="G99" s="14"/>
      <c r="H99" s="69" t="str">
        <f>IF(SF_Data!X2=TRUE,"ＴＥＬ ： 0120-901-197　ＦＡＸ ： 0120-922-068","ＴＥＬ ： 0120-922-804　ＦＡＸ ： 0120-922-068")</f>
        <v>ＴＥＬ ： 0120-922-804　ＦＡＸ ： 0120-922-068</v>
      </c>
      <c r="I99" s="69"/>
      <c r="J99" s="69"/>
      <c r="K99" s="69"/>
      <c r="L99" s="69"/>
      <c r="M99" s="69"/>
      <c r="N99" s="69"/>
      <c r="O99" s="69"/>
      <c r="P99" s="69"/>
      <c r="Q99" s="69"/>
      <c r="R99" s="69"/>
      <c r="S99" s="69"/>
      <c r="T99" s="69"/>
      <c r="U99" s="69"/>
      <c r="V99" s="69"/>
      <c r="W99" s="69"/>
      <c r="X99" s="69"/>
      <c r="Y99" s="69"/>
      <c r="Z99" s="69"/>
      <c r="AA99" s="69"/>
      <c r="AB99" s="69"/>
      <c r="AD99" s="15"/>
    </row>
    <row r="100" spans="2:30" ht="13.5" customHeight="1">
      <c r="B100" s="96"/>
      <c r="C100" s="97"/>
      <c r="D100" s="97"/>
      <c r="E100" s="97"/>
      <c r="F100" s="98"/>
      <c r="G100" s="14"/>
      <c r="H100" s="69" t="str">
        <f>IF(SF_Data!X2=TRUE,"　　　24時間(365日)","平日)10:00～21:00　土日祝日)10:00～17:00")</f>
        <v>平日)10:00～21:00　土日祝日)10:00～17:00</v>
      </c>
      <c r="I100" s="69"/>
      <c r="J100" s="69"/>
      <c r="K100" s="69"/>
      <c r="L100" s="69"/>
      <c r="M100" s="69"/>
      <c r="N100" s="69"/>
      <c r="O100" s="69"/>
      <c r="P100" s="69"/>
      <c r="Q100" s="69"/>
      <c r="R100" s="69"/>
      <c r="S100" s="69"/>
      <c r="T100" s="69"/>
      <c r="U100" s="69"/>
      <c r="V100" s="69"/>
      <c r="W100" s="69"/>
      <c r="X100" s="69"/>
      <c r="Y100" s="69"/>
      <c r="Z100" s="69"/>
      <c r="AA100" s="69"/>
      <c r="AB100" s="69"/>
      <c r="AD100" s="15"/>
    </row>
    <row r="101" spans="2:30" ht="13.5" customHeight="1">
      <c r="B101" s="96"/>
      <c r="C101" s="97"/>
      <c r="D101" s="97"/>
      <c r="E101" s="97"/>
      <c r="F101" s="98"/>
      <c r="G101" s="14"/>
      <c r="H101" s="64" t="str">
        <f>"mail：support@"&amp;SF_Data!G2</f>
        <v>mail：support@</v>
      </c>
      <c r="I101" s="64"/>
      <c r="J101" s="64"/>
      <c r="K101" s="64"/>
      <c r="L101" s="64"/>
      <c r="M101" s="64"/>
      <c r="N101" s="64"/>
      <c r="O101" s="64"/>
      <c r="P101" s="64"/>
      <c r="Q101" s="64"/>
      <c r="R101" s="64"/>
      <c r="S101" s="64"/>
      <c r="T101" s="64"/>
      <c r="U101" s="64"/>
      <c r="V101" s="64"/>
      <c r="W101" s="64"/>
      <c r="X101" s="64"/>
      <c r="Y101" s="64"/>
      <c r="Z101" s="64"/>
      <c r="AA101" s="64"/>
      <c r="AB101" s="64"/>
      <c r="AD101" s="15"/>
    </row>
    <row r="102" spans="2:30" ht="6.75" customHeight="1">
      <c r="B102" s="99"/>
      <c r="C102" s="100"/>
      <c r="D102" s="100"/>
      <c r="E102" s="100"/>
      <c r="F102" s="101"/>
      <c r="G102" s="11"/>
      <c r="H102" s="12"/>
      <c r="I102" s="12"/>
      <c r="J102" s="12"/>
      <c r="K102" s="12"/>
      <c r="L102" s="12"/>
      <c r="M102" s="12"/>
      <c r="N102" s="12"/>
      <c r="O102" s="12"/>
      <c r="P102" s="12"/>
      <c r="Q102" s="12"/>
      <c r="R102" s="12"/>
      <c r="S102" s="12"/>
      <c r="T102" s="12"/>
      <c r="U102" s="12"/>
      <c r="V102" s="12"/>
      <c r="W102" s="12"/>
      <c r="X102" s="12"/>
      <c r="Y102" s="12"/>
      <c r="Z102" s="12"/>
      <c r="AA102" s="12"/>
      <c r="AB102" s="12"/>
      <c r="AC102" s="12"/>
      <c r="AD102" s="15"/>
    </row>
    <row r="103" spans="2:30" ht="4.2" customHeight="1">
      <c r="B103" s="8"/>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52"/>
      <c r="AD103" s="55"/>
    </row>
    <row r="104" spans="2:30" ht="10.8" customHeight="1">
      <c r="B104" s="70" t="s">
        <v>273</v>
      </c>
      <c r="C104" s="71"/>
      <c r="D104" s="71"/>
      <c r="E104" s="71"/>
      <c r="F104" s="71"/>
      <c r="G104" s="71"/>
      <c r="H104" s="71"/>
      <c r="I104" s="71"/>
      <c r="J104" s="71"/>
      <c r="K104" s="71"/>
      <c r="L104" s="71"/>
      <c r="M104" s="71"/>
      <c r="N104" s="71"/>
      <c r="O104" s="71"/>
      <c r="P104" s="71"/>
      <c r="Q104" s="71"/>
      <c r="R104" s="71"/>
      <c r="S104" s="71"/>
      <c r="T104" s="71"/>
      <c r="U104" s="71"/>
      <c r="V104" s="71"/>
      <c r="W104" s="71"/>
      <c r="X104" s="71"/>
      <c r="Y104" s="71"/>
      <c r="Z104" s="71"/>
      <c r="AA104" s="71"/>
      <c r="AB104" s="71"/>
      <c r="AC104" s="71"/>
      <c r="AD104" s="15"/>
    </row>
    <row r="105" spans="2:30" ht="10.8" customHeight="1">
      <c r="B105" s="72" t="s">
        <v>274</v>
      </c>
      <c r="C105" s="69"/>
      <c r="D105" s="69"/>
      <c r="E105" s="69"/>
      <c r="F105" s="69"/>
      <c r="G105" s="69"/>
      <c r="H105" s="69"/>
      <c r="I105" s="69"/>
      <c r="J105" s="69"/>
      <c r="K105" s="69"/>
      <c r="L105" s="69"/>
      <c r="M105" s="69"/>
      <c r="N105" s="69"/>
      <c r="O105" s="69"/>
      <c r="P105" s="69"/>
      <c r="Q105" s="69"/>
      <c r="R105" s="69"/>
      <c r="S105" s="69"/>
      <c r="T105" s="69"/>
      <c r="U105" s="69"/>
      <c r="V105" s="69"/>
      <c r="W105" s="69"/>
      <c r="X105" s="69"/>
      <c r="Y105" s="69"/>
      <c r="Z105" s="69"/>
      <c r="AA105" s="69"/>
      <c r="AB105" s="69"/>
      <c r="AC105" s="69"/>
      <c r="AD105" s="15"/>
    </row>
    <row r="106" spans="2:30" ht="4.2" customHeight="1">
      <c r="B106" s="11"/>
      <c r="C106" s="65"/>
      <c r="D106" s="65"/>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12"/>
      <c r="AD106" s="13"/>
    </row>
    <row r="107" spans="2:30" ht="18" customHeight="1"/>
    <row r="108" spans="2:30" ht="20.25" customHeight="1">
      <c r="D108" s="66" t="s">
        <v>70</v>
      </c>
      <c r="E108" s="66"/>
      <c r="F108" s="66"/>
      <c r="G108" s="66"/>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spans="2:30" ht="4.2" customHeight="1">
      <c r="B109" s="17"/>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8"/>
      <c r="AD109" s="56"/>
    </row>
    <row r="110" spans="2:30" ht="13.5" customHeight="1">
      <c r="B110" s="74" t="s">
        <v>276</v>
      </c>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57"/>
    </row>
    <row r="111" spans="2:30" ht="13.5" customHeight="1">
      <c r="B111" s="74" t="s">
        <v>282</v>
      </c>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57"/>
    </row>
    <row r="112" spans="2:30" ht="13.5" customHeight="1">
      <c r="B112" s="74" t="s">
        <v>275</v>
      </c>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57"/>
    </row>
    <row r="113" spans="2:30" ht="13.5" customHeight="1">
      <c r="B113" s="74" t="s">
        <v>277</v>
      </c>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57"/>
    </row>
    <row r="114" spans="2:30" ht="13.5" customHeight="1">
      <c r="B114" s="74" t="s">
        <v>280</v>
      </c>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57"/>
    </row>
    <row r="115" spans="2:30" ht="13.5" customHeight="1">
      <c r="B115" s="74" t="s">
        <v>281</v>
      </c>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57"/>
    </row>
    <row r="116" spans="2:30" ht="13.5" customHeight="1">
      <c r="B116" s="74" t="s">
        <v>278</v>
      </c>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57"/>
    </row>
    <row r="117" spans="2:30" ht="13.5" customHeight="1">
      <c r="B117" s="102" t="s">
        <v>279</v>
      </c>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57"/>
    </row>
    <row r="118" spans="2:30" ht="4.2" customHeight="1">
      <c r="B118" s="11"/>
      <c r="C118" s="80" t="s">
        <v>270</v>
      </c>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58"/>
    </row>
    <row r="119" spans="2:30" ht="48" customHeight="1"/>
    <row r="120" spans="2:30" ht="13.2"/>
    <row r="121" spans="2:30" ht="11.25" customHeight="1"/>
    <row r="122" spans="2:30" ht="5.25" customHeight="1"/>
  </sheetData>
  <mergeCells count="153">
    <mergeCell ref="P33:Q33"/>
    <mergeCell ref="S33:T33"/>
    <mergeCell ref="U33:W33"/>
    <mergeCell ref="X33:Z33"/>
    <mergeCell ref="A16:AH16"/>
    <mergeCell ref="B27:J27"/>
    <mergeCell ref="B28:J28"/>
    <mergeCell ref="K27:AD27"/>
    <mergeCell ref="K28:AD28"/>
    <mergeCell ref="B29:J30"/>
    <mergeCell ref="K29:R29"/>
    <mergeCell ref="S29:AD29"/>
    <mergeCell ref="K30:R30"/>
    <mergeCell ref="S30:AD30"/>
    <mergeCell ref="W2:AF2"/>
    <mergeCell ref="J4:N5"/>
    <mergeCell ref="R9:AG9"/>
    <mergeCell ref="C13:H13"/>
    <mergeCell ref="G3:H4"/>
    <mergeCell ref="D3:F4"/>
    <mergeCell ref="R11:AF11"/>
    <mergeCell ref="R12:AE12"/>
    <mergeCell ref="B26:J26"/>
    <mergeCell ref="K26:AD26"/>
    <mergeCell ref="A17:AH17"/>
    <mergeCell ref="C19:AE19"/>
    <mergeCell ref="C20:AE20"/>
    <mergeCell ref="B25:J25"/>
    <mergeCell ref="K25:AD25"/>
    <mergeCell ref="C21:AE21"/>
    <mergeCell ref="C23:AE23"/>
    <mergeCell ref="C22:AE22"/>
    <mergeCell ref="D5:I6"/>
    <mergeCell ref="D7:I8"/>
    <mergeCell ref="D9:G9"/>
    <mergeCell ref="D10:H11"/>
    <mergeCell ref="R13:AG13"/>
    <mergeCell ref="R14:AG14"/>
    <mergeCell ref="AA33:AD33"/>
    <mergeCell ref="X34:Z34"/>
    <mergeCell ref="AA34:AD34"/>
    <mergeCell ref="B34:J37"/>
    <mergeCell ref="B38:J39"/>
    <mergeCell ref="K38:AD39"/>
    <mergeCell ref="K34:M34"/>
    <mergeCell ref="N34:O34"/>
    <mergeCell ref="P34:Q34"/>
    <mergeCell ref="S34:T34"/>
    <mergeCell ref="U34:W34"/>
    <mergeCell ref="U36:W37"/>
    <mergeCell ref="X36:Z37"/>
    <mergeCell ref="AA36:AD37"/>
    <mergeCell ref="B31:J33"/>
    <mergeCell ref="K31:M31"/>
    <mergeCell ref="N31:O31"/>
    <mergeCell ref="P31:Q31"/>
    <mergeCell ref="S31:T31"/>
    <mergeCell ref="U31:W31"/>
    <mergeCell ref="X31:Z31"/>
    <mergeCell ref="AA31:AD31"/>
    <mergeCell ref="K33:M33"/>
    <mergeCell ref="N33:O33"/>
    <mergeCell ref="D41:AD41"/>
    <mergeCell ref="K36:M37"/>
    <mergeCell ref="N36:O37"/>
    <mergeCell ref="P36:Q37"/>
    <mergeCell ref="R36:R37"/>
    <mergeCell ref="S36:T37"/>
    <mergeCell ref="B42:J42"/>
    <mergeCell ref="K42:AD42"/>
    <mergeCell ref="B43:J43"/>
    <mergeCell ref="K43:AD43"/>
    <mergeCell ref="B44:J45"/>
    <mergeCell ref="K44:S45"/>
    <mergeCell ref="T44:AD45"/>
    <mergeCell ref="T46:AD47"/>
    <mergeCell ref="T48:AD49"/>
    <mergeCell ref="B50:J50"/>
    <mergeCell ref="K50:AD50"/>
    <mergeCell ref="B51:J51"/>
    <mergeCell ref="K51:AD51"/>
    <mergeCell ref="D53:AD53"/>
    <mergeCell ref="B54:J54"/>
    <mergeCell ref="K54:AD54"/>
    <mergeCell ref="B46:J47"/>
    <mergeCell ref="K46:S47"/>
    <mergeCell ref="B48:J49"/>
    <mergeCell ref="K48:S49"/>
    <mergeCell ref="B62:J62"/>
    <mergeCell ref="K62:AD62"/>
    <mergeCell ref="B63:J63"/>
    <mergeCell ref="K63:AD63"/>
    <mergeCell ref="B65:AD65"/>
    <mergeCell ref="B66:AD66"/>
    <mergeCell ref="B55:J55"/>
    <mergeCell ref="K55:AD55"/>
    <mergeCell ref="B56:J56"/>
    <mergeCell ref="K56:AD56"/>
    <mergeCell ref="D60:AD60"/>
    <mergeCell ref="B61:J61"/>
    <mergeCell ref="K61:AD61"/>
    <mergeCell ref="D78:AD78"/>
    <mergeCell ref="B82:F84"/>
    <mergeCell ref="G83:P85"/>
    <mergeCell ref="G79:P80"/>
    <mergeCell ref="G81:P82"/>
    <mergeCell ref="B67:AD67"/>
    <mergeCell ref="B68:AD68"/>
    <mergeCell ref="B69:AD69"/>
    <mergeCell ref="D71:AD71"/>
    <mergeCell ref="B72:J76"/>
    <mergeCell ref="L73:AD73"/>
    <mergeCell ref="L74:AD74"/>
    <mergeCell ref="L75:AD75"/>
    <mergeCell ref="Q79:S80"/>
    <mergeCell ref="Q81:S82"/>
    <mergeCell ref="T81:Y82"/>
    <mergeCell ref="T79:AD80"/>
    <mergeCell ref="Z81:AD82"/>
    <mergeCell ref="B110:AC110"/>
    <mergeCell ref="Q83:S86"/>
    <mergeCell ref="Q87:S90"/>
    <mergeCell ref="T83:Y86"/>
    <mergeCell ref="T87:Y90"/>
    <mergeCell ref="Z83:AD86"/>
    <mergeCell ref="Z87:AD90"/>
    <mergeCell ref="C118:AC118"/>
    <mergeCell ref="G87:P88"/>
    <mergeCell ref="G89:P90"/>
    <mergeCell ref="D95:AD95"/>
    <mergeCell ref="B96:F102"/>
    <mergeCell ref="H97:AB97"/>
    <mergeCell ref="H98:AB98"/>
    <mergeCell ref="H99:AB99"/>
    <mergeCell ref="H100:AB100"/>
    <mergeCell ref="B111:AC111"/>
    <mergeCell ref="B112:AC112"/>
    <mergeCell ref="B113:AC113"/>
    <mergeCell ref="B114:AC114"/>
    <mergeCell ref="B115:AC115"/>
    <mergeCell ref="B116:AC116"/>
    <mergeCell ref="B117:AC117"/>
    <mergeCell ref="AK83:AM85"/>
    <mergeCell ref="AK87:AM88"/>
    <mergeCell ref="G86:P86"/>
    <mergeCell ref="H101:AB101"/>
    <mergeCell ref="C106:AB106"/>
    <mergeCell ref="D108:AD108"/>
    <mergeCell ref="C109:AC109"/>
    <mergeCell ref="B92:AC92"/>
    <mergeCell ref="B104:AC104"/>
    <mergeCell ref="B105:AC105"/>
    <mergeCell ref="AK89:AK90"/>
  </mergeCells>
  <phoneticPr fontId="10"/>
  <pageMargins left="0.23622047244094491" right="0.23622047244094491" top="0.23622047244094491" bottom="0.23622047244094491" header="0.31496062992125984" footer="0.31496062992125984"/>
  <pageSetup paperSize="9" scale="91" orientation="portrait" r:id="rId1"/>
  <rowBreaks count="1" manualBreakCount="1">
    <brk id="56" max="33" man="1"/>
  </rowBreaks>
  <drawing r:id="rId2"/>
  <extLst>
    <ext xmlns:x14="http://schemas.microsoft.com/office/spreadsheetml/2009/9/main" uri="{78C0D931-6437-407d-A8EE-F0AAD7539E65}">
      <x14:conditionalFormattings>
        <x14:conditionalFormatting xmlns:xm="http://schemas.microsoft.com/office/excel/2006/main">
          <x14:cfRule type="expression" priority="1" id="{D01248A5-B7EB-4278-8CD4-8EE5E9251060}">
            <xm:f>SF_Data!$AA$2="-"</xm:f>
            <x14:dxf>
              <fill>
                <patternFill>
                  <bgColor theme="0"/>
                </patternFill>
              </fill>
              <border>
                <left/>
                <right/>
                <top/>
                <bottom/>
                <vertical/>
                <horizontal/>
              </border>
            </x14:dxf>
          </x14:cfRule>
          <xm:sqref>B54:AD56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2BD9A-BA71-4DE0-9E47-BB12B9A62E91}">
  <sheetPr codeName="Sheet5"/>
  <dimension ref="A1:AL104"/>
  <sheetViews>
    <sheetView workbookViewId="0"/>
  </sheetViews>
  <sheetFormatPr defaultColWidth="6.88671875" defaultRowHeight="12.75" customHeight="1"/>
  <cols>
    <col min="1" max="1" width="8" customWidth="1"/>
    <col min="2" max="2" width="1.109375" customWidth="1"/>
    <col min="3" max="3" width="2.33203125" customWidth="1"/>
    <col min="4" max="5" width="3.44140625" customWidth="1"/>
    <col min="6" max="6" width="8" customWidth="1"/>
    <col min="7" max="7" width="1.109375" customWidth="1"/>
    <col min="8" max="8" width="18.33203125" customWidth="1"/>
    <col min="9" max="10" width="1.109375" customWidth="1"/>
    <col min="11" max="11" width="2.33203125" customWidth="1"/>
    <col min="12" max="12" width="3.44140625" customWidth="1"/>
    <col min="13" max="14" width="1.109375" customWidth="1"/>
    <col min="15" max="15" width="5.6640625" customWidth="1"/>
    <col min="16" max="16" width="3.5546875" customWidth="1"/>
    <col min="17" max="17" width="3.44140625" customWidth="1"/>
    <col min="19" max="19" width="4.5546875" customWidth="1"/>
    <col min="20" max="20" width="2.33203125" customWidth="1"/>
    <col min="21" max="21" width="1.109375" customWidth="1"/>
    <col min="22" max="22" width="4.5546875" customWidth="1"/>
    <col min="23" max="23" width="1.109375" customWidth="1"/>
    <col min="24" max="24" width="1.5546875" customWidth="1"/>
    <col min="25" max="25" width="3.33203125" customWidth="1"/>
    <col min="26" max="26" width="2" customWidth="1"/>
    <col min="27" max="27" width="1.109375" customWidth="1"/>
    <col min="28" max="28" width="3.44140625" customWidth="1"/>
    <col min="29" max="29" width="1.109375" customWidth="1"/>
    <col min="30" max="30" width="1" customWidth="1"/>
    <col min="31" max="31" width="1.33203125" customWidth="1"/>
    <col min="32" max="33" width="1.109375" customWidth="1"/>
    <col min="34" max="34" width="1.44140625" customWidth="1"/>
  </cols>
  <sheetData>
    <row r="1" spans="1:38" ht="6" customHeight="1"/>
    <row r="2" spans="1:38" ht="13.5" customHeight="1">
      <c r="W2" s="160">
        <f>SF_Data!J5</f>
        <v>0</v>
      </c>
      <c r="X2" s="160"/>
      <c r="Y2" s="160"/>
      <c r="Z2" s="160"/>
      <c r="AA2" s="160"/>
      <c r="AB2" s="160"/>
      <c r="AC2" s="160"/>
      <c r="AD2" s="160"/>
      <c r="AE2" s="160"/>
      <c r="AF2" s="160"/>
    </row>
    <row r="3" spans="1:38" ht="6.75" customHeight="1">
      <c r="C3" s="24"/>
      <c r="D3" s="164">
        <f>SF_Data!L5</f>
        <v>0</v>
      </c>
      <c r="E3" s="164"/>
      <c r="F3" s="164"/>
      <c r="G3" s="131" t="s">
        <v>167</v>
      </c>
      <c r="H3" s="131"/>
    </row>
    <row r="4" spans="1:38" ht="6.75" customHeight="1">
      <c r="C4" s="24"/>
      <c r="D4" s="164"/>
      <c r="E4" s="164"/>
      <c r="F4" s="164"/>
      <c r="G4" s="131"/>
      <c r="H4" s="131"/>
      <c r="J4" s="131"/>
      <c r="K4" s="131"/>
      <c r="L4" s="131"/>
      <c r="M4" s="131"/>
      <c r="N4" s="131"/>
    </row>
    <row r="5" spans="1:38" ht="6.75" customHeight="1">
      <c r="C5" s="24"/>
      <c r="D5" s="169">
        <f>SF_Data!M5</f>
        <v>0</v>
      </c>
      <c r="E5" s="169"/>
      <c r="F5" s="169"/>
      <c r="G5" s="169"/>
      <c r="H5" s="169"/>
      <c r="I5" s="169"/>
      <c r="J5" s="131"/>
      <c r="K5" s="131"/>
      <c r="L5" s="131"/>
      <c r="M5" s="131"/>
      <c r="N5" s="131"/>
    </row>
    <row r="6" spans="1:38" ht="6.75" customHeight="1">
      <c r="C6" s="24"/>
      <c r="D6" s="169"/>
      <c r="E6" s="169"/>
      <c r="F6" s="169"/>
      <c r="G6" s="169"/>
      <c r="H6" s="169"/>
      <c r="I6" s="169"/>
    </row>
    <row r="7" spans="1:38" ht="7.5" customHeight="1">
      <c r="C7" s="24"/>
      <c r="D7" s="169">
        <f>SF_Data!K5</f>
        <v>0</v>
      </c>
      <c r="E7" s="169"/>
      <c r="F7" s="169"/>
      <c r="G7" s="169"/>
      <c r="H7" s="169"/>
      <c r="I7" s="169"/>
      <c r="J7" s="24"/>
      <c r="K7" s="24"/>
    </row>
    <row r="8" spans="1:38" ht="6" customHeight="1">
      <c r="C8" s="24"/>
      <c r="D8" s="169"/>
      <c r="E8" s="169"/>
      <c r="F8" s="169"/>
      <c r="G8" s="169"/>
      <c r="H8" s="169"/>
      <c r="I8" s="169"/>
      <c r="J8" s="24"/>
      <c r="K8" s="24"/>
    </row>
    <row r="9" spans="1:38" ht="13.5" customHeight="1">
      <c r="C9" s="24"/>
      <c r="D9" s="169" t="str">
        <f>SF_Data!N5&amp;"　号室"</f>
        <v>　号室</v>
      </c>
      <c r="E9" s="169"/>
      <c r="F9" s="169"/>
      <c r="G9" s="169"/>
      <c r="H9" s="22"/>
      <c r="I9" s="22"/>
      <c r="J9" s="22"/>
      <c r="K9" s="22"/>
      <c r="L9" s="23"/>
      <c r="R9" s="122" t="s">
        <v>201</v>
      </c>
      <c r="S9" s="122"/>
      <c r="T9" s="122"/>
      <c r="U9" s="122"/>
      <c r="V9" s="122"/>
      <c r="W9" s="122"/>
      <c r="X9" s="122"/>
      <c r="Y9" s="122"/>
      <c r="Z9" s="122"/>
      <c r="AA9" s="122"/>
      <c r="AB9" s="122"/>
      <c r="AC9" s="122"/>
      <c r="AD9" s="122"/>
      <c r="AE9" s="122"/>
      <c r="AF9" s="122"/>
      <c r="AG9" s="122"/>
    </row>
    <row r="10" spans="1:38" ht="6.75" customHeight="1">
      <c r="C10" s="24"/>
      <c r="D10" s="169" t="str">
        <f>SF_Data!A5&amp;"　様"</f>
        <v>　様</v>
      </c>
      <c r="E10" s="169"/>
      <c r="F10" s="169"/>
      <c r="G10" s="169"/>
      <c r="H10" s="169"/>
      <c r="I10" s="24"/>
      <c r="J10" s="24"/>
      <c r="K10" s="24"/>
      <c r="L10" s="23"/>
    </row>
    <row r="11" spans="1:38" ht="6" customHeight="1">
      <c r="C11" s="24"/>
      <c r="D11" s="169"/>
      <c r="E11" s="169"/>
      <c r="F11" s="169"/>
      <c r="G11" s="169"/>
      <c r="H11" s="169"/>
      <c r="I11" s="24"/>
      <c r="J11" s="24"/>
      <c r="K11" s="24"/>
      <c r="L11" s="23"/>
      <c r="R11" s="75" t="str">
        <f>IF(SF_Data!X5=TRUE,"ＴＥＬ ： 0120-901-197　ＦＡＸ ： 0120-922-068","ＴＥＬ ： 0120-922-804　ＦＡＸ ： 0120-922-068")</f>
        <v>ＴＥＬ ： 0120-922-804　ＦＡＸ ： 0120-922-068</v>
      </c>
      <c r="S11" s="75"/>
      <c r="T11" s="75"/>
      <c r="U11" s="75"/>
      <c r="V11" s="75"/>
      <c r="W11" s="75"/>
      <c r="X11" s="75"/>
      <c r="Y11" s="75"/>
      <c r="Z11" s="75"/>
      <c r="AA11" s="75"/>
      <c r="AB11" s="75"/>
      <c r="AC11" s="75"/>
      <c r="AD11" s="75"/>
      <c r="AE11" s="75"/>
      <c r="AF11" s="75"/>
      <c r="AG11" s="75"/>
    </row>
    <row r="12" spans="1:38" ht="9" customHeight="1">
      <c r="R12" s="75"/>
      <c r="S12" s="75"/>
      <c r="T12" s="75"/>
      <c r="U12" s="75"/>
      <c r="V12" s="75"/>
      <c r="W12" s="75"/>
      <c r="X12" s="75"/>
      <c r="Y12" s="75"/>
      <c r="Z12" s="75"/>
      <c r="AA12" s="75"/>
      <c r="AB12" s="75"/>
      <c r="AC12" s="75"/>
      <c r="AD12" s="75"/>
      <c r="AE12" s="75"/>
      <c r="AF12" s="75"/>
      <c r="AG12" s="75"/>
    </row>
    <row r="13" spans="1:38" ht="13.5" customHeight="1">
      <c r="C13" s="180" t="s">
        <v>199</v>
      </c>
      <c r="D13" s="181"/>
      <c r="E13" s="181"/>
      <c r="F13" s="181"/>
      <c r="G13" s="181"/>
      <c r="H13" s="182"/>
      <c r="I13" s="25"/>
      <c r="J13" s="26"/>
      <c r="K13" s="26"/>
      <c r="L13" s="26"/>
      <c r="R13" s="75" t="str">
        <f>IF(SF_Data!X5=TRUE,"　　　24時間(365日)","平日)10:00～21:00　土日祝日)10:00～17:00")</f>
        <v>平日)10:00～21:00　土日祝日)10:00～17:00</v>
      </c>
      <c r="S13" s="75"/>
      <c r="T13" s="75"/>
      <c r="U13" s="75"/>
      <c r="V13" s="75"/>
      <c r="W13" s="75"/>
      <c r="X13" s="75"/>
      <c r="Y13" s="75"/>
      <c r="Z13" s="75"/>
      <c r="AA13" s="75"/>
      <c r="AB13" s="75"/>
      <c r="AC13" s="75"/>
      <c r="AD13" s="75"/>
      <c r="AE13" s="75"/>
      <c r="AF13" s="75"/>
      <c r="AG13" s="75"/>
    </row>
    <row r="14" spans="1:38" ht="11.25" customHeight="1">
      <c r="R14" s="170" t="s">
        <v>197</v>
      </c>
      <c r="S14" s="170"/>
      <c r="T14" s="170"/>
      <c r="U14" s="170"/>
      <c r="V14" s="170"/>
      <c r="W14" s="170"/>
      <c r="X14" s="170"/>
      <c r="Y14" s="170"/>
      <c r="Z14" s="170"/>
      <c r="AA14" s="170"/>
      <c r="AB14" s="170"/>
      <c r="AC14" s="170"/>
      <c r="AD14" s="170"/>
      <c r="AE14" s="170"/>
      <c r="AF14" s="170"/>
      <c r="AG14" s="170"/>
      <c r="AJ14" s="28" t="s">
        <v>179</v>
      </c>
    </row>
    <row r="15" spans="1:38" ht="39" customHeight="1">
      <c r="AJ15" s="29">
        <f>SF_Data!W5</f>
        <v>0</v>
      </c>
      <c r="AK15" s="30"/>
      <c r="AL15" s="30"/>
    </row>
    <row r="16" spans="1:38" ht="36.75" customHeight="1">
      <c r="A16" s="172" t="s">
        <v>200</v>
      </c>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row>
    <row r="17" spans="1:37" ht="13.2" customHeight="1">
      <c r="A17" s="166"/>
      <c r="B17" s="166"/>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row>
    <row r="18" spans="1:37" ht="9" customHeight="1"/>
    <row r="19" spans="1:37" ht="20.25" customHeight="1">
      <c r="C19" s="122" t="s">
        <v>23</v>
      </c>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K19" s="1"/>
    </row>
    <row r="20" spans="1:37" ht="20.25" customHeight="1">
      <c r="C20" s="122" t="s">
        <v>24</v>
      </c>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K20" s="2"/>
    </row>
    <row r="21" spans="1:37" ht="10.199999999999999" customHeight="1">
      <c r="AK21" s="2"/>
    </row>
    <row r="22" spans="1:37" ht="20.25" customHeight="1">
      <c r="E22" s="179" t="s">
        <v>25</v>
      </c>
      <c r="F22" s="179"/>
      <c r="G22" s="179"/>
      <c r="H22" s="179"/>
      <c r="I22" s="179"/>
      <c r="J22" s="179"/>
      <c r="K22" s="179"/>
      <c r="L22" s="179"/>
      <c r="M22" s="179"/>
      <c r="N22" s="179"/>
      <c r="O22" s="179"/>
      <c r="P22" s="179"/>
      <c r="Q22" s="179"/>
      <c r="R22" s="179"/>
      <c r="S22" s="179"/>
      <c r="T22" s="179"/>
      <c r="U22" s="179"/>
      <c r="V22" s="179"/>
      <c r="W22" s="179"/>
      <c r="X22" s="179"/>
      <c r="Y22" s="179"/>
      <c r="Z22" s="179"/>
      <c r="AA22" s="179"/>
    </row>
    <row r="23" spans="1:37" ht="11.25" customHeight="1">
      <c r="E23" s="179" t="s">
        <v>26</v>
      </c>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row>
    <row r="24" spans="1:37" ht="20.25" customHeight="1"/>
    <row r="25" spans="1:37" ht="27" customHeight="1">
      <c r="B25" s="129" t="s">
        <v>27</v>
      </c>
      <c r="C25" s="129"/>
      <c r="D25" s="129"/>
      <c r="E25" s="129"/>
      <c r="F25" s="129"/>
      <c r="G25" s="129"/>
      <c r="H25" s="129"/>
      <c r="I25" s="129"/>
      <c r="J25" s="129"/>
      <c r="K25" s="165" t="str">
        <f>SF_Data!A5&amp; "　様"</f>
        <v>　様</v>
      </c>
      <c r="L25" s="165"/>
      <c r="M25" s="165"/>
      <c r="N25" s="165"/>
      <c r="O25" s="165"/>
      <c r="P25" s="165"/>
      <c r="Q25" s="165"/>
      <c r="R25" s="165"/>
      <c r="S25" s="165"/>
      <c r="T25" s="165"/>
      <c r="U25" s="165"/>
      <c r="V25" s="165"/>
      <c r="W25" s="165"/>
      <c r="X25" s="165"/>
      <c r="Y25" s="165"/>
      <c r="Z25" s="165"/>
      <c r="AA25" s="165"/>
      <c r="AB25" s="165"/>
      <c r="AC25" s="165"/>
      <c r="AD25" s="165"/>
    </row>
    <row r="26" spans="1:37" ht="27" customHeight="1">
      <c r="B26" s="129" t="s">
        <v>22</v>
      </c>
      <c r="C26" s="129"/>
      <c r="D26" s="129"/>
      <c r="E26" s="129"/>
      <c r="F26" s="129"/>
      <c r="G26" s="129"/>
      <c r="H26" s="129"/>
      <c r="I26" s="129"/>
      <c r="J26" s="129"/>
      <c r="K26" s="165">
        <f>SF_Data!K5</f>
        <v>0</v>
      </c>
      <c r="L26" s="165"/>
      <c r="M26" s="165"/>
      <c r="N26" s="165"/>
      <c r="O26" s="165"/>
      <c r="P26" s="165"/>
      <c r="Q26" s="165"/>
      <c r="R26" s="165"/>
      <c r="S26" s="165"/>
      <c r="T26" s="165"/>
      <c r="U26" s="165"/>
      <c r="V26" s="165"/>
      <c r="W26" s="165"/>
      <c r="X26" s="165"/>
      <c r="Y26" s="165"/>
      <c r="Z26" s="165"/>
      <c r="AA26" s="165"/>
      <c r="AB26" s="165"/>
      <c r="AC26" s="165"/>
      <c r="AD26" s="165"/>
      <c r="AJ26" s="37"/>
    </row>
    <row r="27" spans="1:37" ht="27" customHeight="1">
      <c r="B27" s="129" t="s">
        <v>28</v>
      </c>
      <c r="C27" s="129"/>
      <c r="D27" s="129"/>
      <c r="E27" s="129"/>
      <c r="F27" s="129"/>
      <c r="G27" s="129"/>
      <c r="H27" s="129"/>
      <c r="I27" s="129"/>
      <c r="J27" s="129"/>
      <c r="K27" s="173" t="str">
        <f>SF_Data!N5&amp;"　号室"</f>
        <v>　号室</v>
      </c>
      <c r="L27" s="174"/>
      <c r="M27" s="174"/>
      <c r="N27" s="174"/>
      <c r="O27" s="174"/>
      <c r="P27" s="174"/>
      <c r="Q27" s="174"/>
      <c r="R27" s="174"/>
      <c r="S27" s="174"/>
      <c r="T27" s="174"/>
      <c r="U27" s="174"/>
      <c r="V27" s="174"/>
      <c r="W27" s="174"/>
      <c r="X27" s="174"/>
      <c r="Y27" s="174"/>
      <c r="Z27" s="174"/>
      <c r="AA27" s="174"/>
      <c r="AB27" s="174"/>
      <c r="AC27" s="174"/>
      <c r="AD27" s="175"/>
    </row>
    <row r="28" spans="1:37" ht="27" customHeight="1">
      <c r="B28" s="129" t="s">
        <v>29</v>
      </c>
      <c r="C28" s="129"/>
      <c r="D28" s="129"/>
      <c r="E28" s="129"/>
      <c r="F28" s="129"/>
      <c r="G28" s="129"/>
      <c r="H28" s="129"/>
      <c r="I28" s="129"/>
      <c r="J28" s="129"/>
      <c r="K28" s="173">
        <f>SF_Data!M5</f>
        <v>0</v>
      </c>
      <c r="L28" s="174"/>
      <c r="M28" s="174"/>
      <c r="N28" s="174"/>
      <c r="O28" s="174"/>
      <c r="P28" s="174"/>
      <c r="Q28" s="174"/>
      <c r="R28" s="174"/>
      <c r="S28" s="174"/>
      <c r="T28" s="174"/>
      <c r="U28" s="174"/>
      <c r="V28" s="174"/>
      <c r="W28" s="174"/>
      <c r="X28" s="174"/>
      <c r="Y28" s="174"/>
      <c r="Z28" s="174"/>
      <c r="AA28" s="174"/>
      <c r="AB28" s="174"/>
      <c r="AC28" s="174"/>
      <c r="AD28" s="175"/>
    </row>
    <row r="29" spans="1:37" ht="20.25" customHeight="1">
      <c r="B29" s="129" t="s">
        <v>30</v>
      </c>
      <c r="C29" s="129"/>
      <c r="D29" s="129"/>
      <c r="E29" s="129"/>
      <c r="F29" s="129"/>
      <c r="G29" s="129"/>
      <c r="H29" s="129"/>
      <c r="I29" s="129"/>
      <c r="J29" s="129"/>
      <c r="K29" s="176" t="s">
        <v>31</v>
      </c>
      <c r="L29" s="176"/>
      <c r="M29" s="176"/>
      <c r="N29" s="176"/>
      <c r="O29" s="176"/>
      <c r="P29" s="176"/>
      <c r="Q29" s="176"/>
      <c r="R29" s="176"/>
      <c r="S29" s="176" t="s">
        <v>32</v>
      </c>
      <c r="T29" s="176"/>
      <c r="U29" s="176"/>
      <c r="V29" s="176"/>
      <c r="W29" s="176"/>
      <c r="X29" s="176"/>
      <c r="Y29" s="176"/>
      <c r="Z29" s="176"/>
      <c r="AA29" s="176"/>
      <c r="AB29" s="176"/>
      <c r="AC29" s="176"/>
      <c r="AD29" s="176"/>
    </row>
    <row r="30" spans="1:37" ht="20.25" customHeight="1">
      <c r="B30" s="129"/>
      <c r="C30" s="129"/>
      <c r="D30" s="129"/>
      <c r="E30" s="129"/>
      <c r="F30" s="129"/>
      <c r="G30" s="129"/>
      <c r="H30" s="129"/>
      <c r="I30" s="129"/>
      <c r="J30" s="129"/>
      <c r="K30" s="165">
        <f>SF_Data!B5</f>
        <v>0</v>
      </c>
      <c r="L30" s="165"/>
      <c r="M30" s="165"/>
      <c r="N30" s="165"/>
      <c r="O30" s="165"/>
      <c r="P30" s="165"/>
      <c r="Q30" s="165"/>
      <c r="R30" s="165"/>
      <c r="S30" s="165">
        <f>SF_Data!C5</f>
        <v>0</v>
      </c>
      <c r="T30" s="165"/>
      <c r="U30" s="165"/>
      <c r="V30" s="165"/>
      <c r="W30" s="165"/>
      <c r="X30" s="165"/>
      <c r="Y30" s="165"/>
      <c r="Z30" s="165"/>
      <c r="AA30" s="165"/>
      <c r="AB30" s="165"/>
      <c r="AC30" s="165"/>
      <c r="AD30" s="165"/>
    </row>
    <row r="31" spans="1:37" ht="13.5" customHeight="1">
      <c r="B31" s="129" t="s">
        <v>33</v>
      </c>
      <c r="C31" s="129"/>
      <c r="D31" s="129"/>
      <c r="E31" s="129"/>
      <c r="F31" s="129"/>
      <c r="G31" s="129"/>
      <c r="H31" s="129"/>
      <c r="I31" s="129"/>
      <c r="J31" s="129"/>
      <c r="K31" s="152" t="str">
        <f>IF(K33="","",VLOOKUP(K33,カナ!A:B,2))</f>
        <v/>
      </c>
      <c r="L31" s="153"/>
      <c r="M31" s="154"/>
      <c r="N31" s="152" t="str">
        <f>IF(N33="","",VLOOKUP(N33,カナ!A:B,2))</f>
        <v/>
      </c>
      <c r="O31" s="154"/>
      <c r="P31" s="152" t="str">
        <f>IF(P33="","",VLOOKUP(P33,カナ!A:B,2))</f>
        <v/>
      </c>
      <c r="Q31" s="154"/>
      <c r="R31" s="20" t="str">
        <f>IF(R33="","",VLOOKUP(R33,カナ!A:B,2))</f>
        <v/>
      </c>
      <c r="S31" s="152" t="str">
        <f>IF(S33="","",VLOOKUP(S33,カナ!A:B,2))</f>
        <v/>
      </c>
      <c r="T31" s="154"/>
      <c r="U31" s="152" t="str">
        <f>IF(U33="","",VLOOKUP(U33,カナ!A:B,2))</f>
        <v/>
      </c>
      <c r="V31" s="153"/>
      <c r="W31" s="154"/>
      <c r="X31" s="152" t="str">
        <f>IF(X33="","",VLOOKUP(X33,カナ!A:B,2))</f>
        <v/>
      </c>
      <c r="Y31" s="153"/>
      <c r="Z31" s="154"/>
      <c r="AA31" s="177" t="str">
        <f>IF(AA33="","",VLOOKUP(AA33,カナ!A:B,2))</f>
        <v/>
      </c>
      <c r="AB31" s="177"/>
      <c r="AC31" s="177"/>
      <c r="AD31" s="178"/>
      <c r="AI31" s="4"/>
    </row>
    <row r="32" spans="1:37" ht="6.75" customHeight="1">
      <c r="B32" s="129"/>
      <c r="C32" s="129"/>
      <c r="D32" s="129"/>
      <c r="E32" s="129"/>
      <c r="F32" s="129"/>
      <c r="G32" s="129"/>
      <c r="H32" s="129"/>
      <c r="I32" s="129"/>
      <c r="J32" s="129"/>
      <c r="K32" s="14"/>
      <c r="M32" s="15"/>
      <c r="N32" s="14"/>
      <c r="O32" s="15"/>
      <c r="P32" s="14"/>
      <c r="Q32" s="15"/>
      <c r="R32" s="15"/>
      <c r="S32" s="14"/>
      <c r="T32" s="15"/>
      <c r="U32" s="14"/>
      <c r="W32" s="15"/>
      <c r="X32" s="14"/>
      <c r="Z32" s="15"/>
      <c r="AD32" s="15"/>
    </row>
    <row r="33" spans="2:36" ht="20.25" customHeight="1">
      <c r="B33" s="171"/>
      <c r="C33" s="171"/>
      <c r="D33" s="171"/>
      <c r="E33" s="171"/>
      <c r="F33" s="171"/>
      <c r="G33" s="171"/>
      <c r="H33" s="171"/>
      <c r="I33" s="171"/>
      <c r="J33" s="171"/>
      <c r="K33" s="147" t="str">
        <f>MID(SF_Data!H5,1,1)</f>
        <v/>
      </c>
      <c r="L33" s="131"/>
      <c r="M33" s="148"/>
      <c r="N33" s="147" t="str">
        <f>MID(SF_Data!H5,2,1)</f>
        <v/>
      </c>
      <c r="O33" s="148"/>
      <c r="P33" s="147" t="str">
        <f>MID(SF_Data!H5,3,1)</f>
        <v/>
      </c>
      <c r="Q33" s="148"/>
      <c r="R33" s="21" t="str">
        <f>MID(SF_Data!H5,4,1)</f>
        <v/>
      </c>
      <c r="S33" s="147" t="str">
        <f>MID(SF_Data!H5,5,1)</f>
        <v/>
      </c>
      <c r="T33" s="148"/>
      <c r="U33" s="147" t="str">
        <f>MID(SF_Data!H5,6,1)</f>
        <v/>
      </c>
      <c r="V33" s="131"/>
      <c r="W33" s="148"/>
      <c r="X33" s="147" t="str">
        <f>MID(SF_Data!H5,7,1)</f>
        <v/>
      </c>
      <c r="Y33" s="131"/>
      <c r="Z33" s="148"/>
      <c r="AA33" s="131" t="str">
        <f>MID(SF_Data!H5,8,1)</f>
        <v/>
      </c>
      <c r="AB33" s="131"/>
      <c r="AC33" s="131"/>
      <c r="AD33" s="148"/>
      <c r="AJ33" s="1"/>
    </row>
    <row r="34" spans="2:36" ht="13.2" customHeight="1">
      <c r="B34" s="155" t="s">
        <v>40</v>
      </c>
      <c r="C34" s="156"/>
      <c r="D34" s="156"/>
      <c r="E34" s="156"/>
      <c r="F34" s="156"/>
      <c r="G34" s="156"/>
      <c r="H34" s="156"/>
      <c r="I34" s="156"/>
      <c r="J34" s="157"/>
      <c r="K34" s="152" t="str">
        <f>IF(K36="","",VLOOKUP(K36,カナ!A:B,2))</f>
        <v/>
      </c>
      <c r="L34" s="153"/>
      <c r="M34" s="154"/>
      <c r="N34" s="152" t="str">
        <f>IF(N36="","",VLOOKUP(N36,カナ!A:B,2))</f>
        <v/>
      </c>
      <c r="O34" s="154"/>
      <c r="P34" s="152" t="str">
        <f>IF(P36="","",VLOOKUP(P36,カナ!A:B,2))</f>
        <v/>
      </c>
      <c r="Q34" s="154"/>
      <c r="R34" s="20" t="str">
        <f>IF(R36="","",VLOOKUP(R36,カナ!A:B,2))</f>
        <v/>
      </c>
      <c r="S34" s="152" t="str">
        <f>IF(S36="","",VLOOKUP(S36,カナ!A:B,2))</f>
        <v/>
      </c>
      <c r="T34" s="154"/>
      <c r="U34" s="152" t="str">
        <f>IF(U36="","",VLOOKUP(U36,カナ!A:B,2))</f>
        <v/>
      </c>
      <c r="V34" s="153"/>
      <c r="W34" s="154"/>
      <c r="X34" s="152" t="str">
        <f>IF(X36="","",VLOOKUP(X36,カナ!A:B,2))</f>
        <v/>
      </c>
      <c r="Y34" s="153"/>
      <c r="Z34" s="154"/>
      <c r="AA34" s="153" t="str">
        <f>IF(AA36="","",VLOOKUP(AA36,カナ!A:B,2))</f>
        <v/>
      </c>
      <c r="AB34" s="153"/>
      <c r="AC34" s="153"/>
      <c r="AD34" s="154"/>
    </row>
    <row r="35" spans="2:36" ht="6.75" customHeight="1">
      <c r="B35" s="96"/>
      <c r="C35" s="97"/>
      <c r="D35" s="97"/>
      <c r="E35" s="97"/>
      <c r="F35" s="97"/>
      <c r="G35" s="97"/>
      <c r="H35" s="97"/>
      <c r="I35" s="97"/>
      <c r="J35" s="98"/>
      <c r="K35" s="14"/>
      <c r="L35" s="1"/>
      <c r="M35" s="15"/>
      <c r="N35" s="14"/>
      <c r="O35" s="15"/>
      <c r="P35" s="14"/>
      <c r="Q35" s="15"/>
      <c r="R35" s="15"/>
      <c r="S35" s="14"/>
      <c r="T35" s="15"/>
      <c r="U35" s="14"/>
      <c r="W35" s="15"/>
      <c r="X35" s="14"/>
      <c r="Z35" s="15"/>
      <c r="AD35" s="15"/>
    </row>
    <row r="36" spans="2:36" ht="13.5" customHeight="1">
      <c r="B36" s="96"/>
      <c r="C36" s="97"/>
      <c r="D36" s="97"/>
      <c r="E36" s="97"/>
      <c r="F36" s="97"/>
      <c r="G36" s="97"/>
      <c r="H36" s="97"/>
      <c r="I36" s="97"/>
      <c r="J36" s="98"/>
      <c r="K36" s="147" t="str">
        <f>MID(SF_Data!I5,1,1)</f>
        <v/>
      </c>
      <c r="L36" s="131"/>
      <c r="M36" s="148"/>
      <c r="N36" s="147" t="str">
        <f>MID(SF_Data!I5,2,1)</f>
        <v/>
      </c>
      <c r="O36" s="148"/>
      <c r="P36" s="147" t="str">
        <f>MID(SF_Data!I5,3,1)</f>
        <v/>
      </c>
      <c r="Q36" s="148"/>
      <c r="R36" s="148" t="str">
        <f>MID(SF_Data!I5,4,1)</f>
        <v/>
      </c>
      <c r="S36" s="147" t="str">
        <f>MID(SF_Data!I5,5,1)</f>
        <v/>
      </c>
      <c r="T36" s="148"/>
      <c r="U36" s="147" t="str">
        <f>MID(SF_Data!I5,6,1)</f>
        <v/>
      </c>
      <c r="V36" s="131"/>
      <c r="W36" s="148"/>
      <c r="X36" s="147" t="str">
        <f>MID(SF_Data!I5,7,1)</f>
        <v/>
      </c>
      <c r="Y36" s="131"/>
      <c r="Z36" s="148"/>
      <c r="AA36" s="131" t="str">
        <f>MID(SF_Data!I5,8,1)</f>
        <v/>
      </c>
      <c r="AB36" s="131"/>
      <c r="AC36" s="131"/>
      <c r="AD36" s="148"/>
      <c r="AJ36" s="2"/>
    </row>
    <row r="37" spans="2:36" ht="6.75" customHeight="1">
      <c r="B37" s="99"/>
      <c r="C37" s="100"/>
      <c r="D37" s="100"/>
      <c r="E37" s="100"/>
      <c r="F37" s="100"/>
      <c r="G37" s="100"/>
      <c r="H37" s="100"/>
      <c r="I37" s="100"/>
      <c r="J37" s="101"/>
      <c r="K37" s="149"/>
      <c r="L37" s="150"/>
      <c r="M37" s="151"/>
      <c r="N37" s="149"/>
      <c r="O37" s="151"/>
      <c r="P37" s="149"/>
      <c r="Q37" s="151"/>
      <c r="R37" s="151"/>
      <c r="S37" s="149"/>
      <c r="T37" s="151"/>
      <c r="U37" s="149"/>
      <c r="V37" s="150"/>
      <c r="W37" s="151"/>
      <c r="X37" s="149"/>
      <c r="Y37" s="150"/>
      <c r="Z37" s="151"/>
      <c r="AA37" s="150"/>
      <c r="AB37" s="150"/>
      <c r="AC37" s="150"/>
      <c r="AD37" s="151"/>
    </row>
    <row r="38" spans="2:36" ht="6.75" customHeight="1">
      <c r="B38" s="155" t="s">
        <v>205</v>
      </c>
      <c r="C38" s="156"/>
      <c r="D38" s="156"/>
      <c r="E38" s="156"/>
      <c r="F38" s="156"/>
      <c r="G38" s="156"/>
      <c r="H38" s="156"/>
      <c r="I38" s="156"/>
      <c r="J38" s="157"/>
      <c r="K38" s="183" t="s">
        <v>262</v>
      </c>
      <c r="L38" s="184"/>
      <c r="M38" s="184"/>
      <c r="N38" s="184"/>
      <c r="O38" s="184"/>
      <c r="P38" s="184"/>
      <c r="Q38" s="184"/>
      <c r="R38" s="184"/>
      <c r="S38" s="184"/>
      <c r="T38" s="184"/>
      <c r="U38" s="184"/>
      <c r="V38" s="184"/>
      <c r="W38" s="184"/>
      <c r="X38" s="184"/>
      <c r="Y38" s="184"/>
      <c r="Z38" s="184"/>
      <c r="AA38" s="184"/>
      <c r="AB38" s="184"/>
      <c r="AC38" s="184"/>
      <c r="AD38" s="185"/>
    </row>
    <row r="39" spans="2:36" ht="20.25" customHeight="1">
      <c r="B39" s="99"/>
      <c r="C39" s="100"/>
      <c r="D39" s="100"/>
      <c r="E39" s="100"/>
      <c r="F39" s="100"/>
      <c r="G39" s="100"/>
      <c r="H39" s="100"/>
      <c r="I39" s="100"/>
      <c r="J39" s="101"/>
      <c r="K39" s="149"/>
      <c r="L39" s="150"/>
      <c r="M39" s="150"/>
      <c r="N39" s="150"/>
      <c r="O39" s="150"/>
      <c r="P39" s="150"/>
      <c r="Q39" s="150"/>
      <c r="R39" s="150"/>
      <c r="S39" s="150"/>
      <c r="T39" s="150"/>
      <c r="U39" s="150"/>
      <c r="V39" s="150"/>
      <c r="W39" s="150"/>
      <c r="X39" s="150"/>
      <c r="Y39" s="150"/>
      <c r="Z39" s="150"/>
      <c r="AA39" s="150"/>
      <c r="AB39" s="150"/>
      <c r="AC39" s="150"/>
      <c r="AD39" s="151"/>
      <c r="AI39" s="3"/>
    </row>
    <row r="40" spans="2:36" ht="12" customHeight="1"/>
    <row r="41" spans="2:36" ht="20.25" customHeight="1">
      <c r="D41" s="66" t="s">
        <v>42</v>
      </c>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row>
    <row r="42" spans="2:36" ht="27" customHeight="1">
      <c r="B42" s="129" t="s">
        <v>43</v>
      </c>
      <c r="C42" s="129"/>
      <c r="D42" s="129"/>
      <c r="E42" s="129"/>
      <c r="F42" s="129"/>
      <c r="G42" s="129"/>
      <c r="H42" s="129"/>
      <c r="I42" s="129"/>
      <c r="J42" s="129"/>
      <c r="K42" s="130">
        <f>SF_Data!D5</f>
        <v>0</v>
      </c>
      <c r="L42" s="130"/>
      <c r="M42" s="130"/>
      <c r="N42" s="130"/>
      <c r="O42" s="130"/>
      <c r="P42" s="130"/>
      <c r="Q42" s="130"/>
      <c r="R42" s="130"/>
      <c r="S42" s="130"/>
      <c r="T42" s="130"/>
      <c r="U42" s="130"/>
      <c r="V42" s="130"/>
      <c r="W42" s="130"/>
      <c r="X42" s="130"/>
      <c r="Y42" s="130"/>
      <c r="Z42" s="130"/>
      <c r="AA42" s="130"/>
      <c r="AB42" s="130"/>
      <c r="AC42" s="130"/>
      <c r="AD42" s="130"/>
    </row>
    <row r="43" spans="2:36" ht="27" customHeight="1">
      <c r="B43" s="129" t="s">
        <v>44</v>
      </c>
      <c r="C43" s="129"/>
      <c r="D43" s="129"/>
      <c r="E43" s="129"/>
      <c r="F43" s="129"/>
      <c r="G43" s="129"/>
      <c r="H43" s="129"/>
      <c r="I43" s="129"/>
      <c r="J43" s="129"/>
      <c r="K43" s="130" t="s">
        <v>45</v>
      </c>
      <c r="L43" s="130"/>
      <c r="M43" s="130"/>
      <c r="N43" s="130"/>
      <c r="O43" s="130"/>
      <c r="P43" s="130"/>
      <c r="Q43" s="130"/>
      <c r="R43" s="130"/>
      <c r="S43" s="130"/>
      <c r="T43" s="130"/>
      <c r="U43" s="130"/>
      <c r="V43" s="130"/>
      <c r="W43" s="130"/>
      <c r="X43" s="130"/>
      <c r="Y43" s="130"/>
      <c r="Z43" s="130"/>
      <c r="AA43" s="130"/>
      <c r="AB43" s="130"/>
      <c r="AC43" s="130"/>
      <c r="AD43" s="130"/>
    </row>
    <row r="44" spans="2:36" ht="6.75" customHeight="1">
      <c r="B44" s="132" t="s">
        <v>250</v>
      </c>
      <c r="C44" s="133"/>
      <c r="D44" s="133"/>
      <c r="E44" s="133"/>
      <c r="F44" s="133"/>
      <c r="G44" s="133"/>
      <c r="H44" s="133"/>
      <c r="I44" s="133"/>
      <c r="J44" s="134"/>
      <c r="K44" s="135" t="s">
        <v>256</v>
      </c>
      <c r="L44" s="136"/>
      <c r="M44" s="136"/>
      <c r="N44" s="136"/>
      <c r="O44" s="136"/>
      <c r="P44" s="136"/>
      <c r="Q44" s="136"/>
      <c r="R44" s="136"/>
      <c r="S44" s="137"/>
      <c r="T44" s="138" t="s">
        <v>253</v>
      </c>
      <c r="U44" s="139"/>
      <c r="V44" s="139"/>
      <c r="W44" s="139"/>
      <c r="X44" s="139"/>
      <c r="Y44" s="139"/>
      <c r="Z44" s="139"/>
      <c r="AA44" s="139"/>
      <c r="AB44" s="139"/>
      <c r="AC44" s="139"/>
      <c r="AD44" s="140"/>
    </row>
    <row r="45" spans="2:36" ht="20.25" customHeight="1">
      <c r="B45" s="132"/>
      <c r="C45" s="133"/>
      <c r="D45" s="133"/>
      <c r="E45" s="133"/>
      <c r="F45" s="133"/>
      <c r="G45" s="133"/>
      <c r="H45" s="133"/>
      <c r="I45" s="133"/>
      <c r="J45" s="134"/>
      <c r="K45" s="135"/>
      <c r="L45" s="136"/>
      <c r="M45" s="136"/>
      <c r="N45" s="136"/>
      <c r="O45" s="136"/>
      <c r="P45" s="136"/>
      <c r="Q45" s="136"/>
      <c r="R45" s="136"/>
      <c r="S45" s="137"/>
      <c r="T45" s="141"/>
      <c r="U45" s="142"/>
      <c r="V45" s="142"/>
      <c r="W45" s="142"/>
      <c r="X45" s="142"/>
      <c r="Y45" s="142"/>
      <c r="Z45" s="142"/>
      <c r="AA45" s="142"/>
      <c r="AB45" s="142"/>
      <c r="AC45" s="142"/>
      <c r="AD45" s="143"/>
    </row>
    <row r="46" spans="2:36" ht="6.75" customHeight="1">
      <c r="B46" s="132" t="s">
        <v>251</v>
      </c>
      <c r="C46" s="133"/>
      <c r="D46" s="133"/>
      <c r="E46" s="133"/>
      <c r="F46" s="133"/>
      <c r="G46" s="133"/>
      <c r="H46" s="133"/>
      <c r="I46" s="133"/>
      <c r="J46" s="134"/>
      <c r="K46" s="135" t="s">
        <v>257</v>
      </c>
      <c r="L46" s="136"/>
      <c r="M46" s="136"/>
      <c r="N46" s="136"/>
      <c r="O46" s="136"/>
      <c r="P46" s="136"/>
      <c r="Q46" s="136"/>
      <c r="R46" s="136"/>
      <c r="S46" s="137"/>
      <c r="T46" s="138" t="s">
        <v>254</v>
      </c>
      <c r="U46" s="139"/>
      <c r="V46" s="139"/>
      <c r="W46" s="139"/>
      <c r="X46" s="139"/>
      <c r="Y46" s="139"/>
      <c r="Z46" s="139"/>
      <c r="AA46" s="139"/>
      <c r="AB46" s="139"/>
      <c r="AC46" s="139"/>
      <c r="AD46" s="140"/>
    </row>
    <row r="47" spans="2:36" ht="20.25" customHeight="1">
      <c r="B47" s="132"/>
      <c r="C47" s="133"/>
      <c r="D47" s="133"/>
      <c r="E47" s="133"/>
      <c r="F47" s="133"/>
      <c r="G47" s="133"/>
      <c r="H47" s="133"/>
      <c r="I47" s="133"/>
      <c r="J47" s="134"/>
      <c r="K47" s="135"/>
      <c r="L47" s="136"/>
      <c r="M47" s="136"/>
      <c r="N47" s="136"/>
      <c r="O47" s="136"/>
      <c r="P47" s="136"/>
      <c r="Q47" s="136"/>
      <c r="R47" s="136"/>
      <c r="S47" s="137"/>
      <c r="T47" s="141"/>
      <c r="U47" s="142"/>
      <c r="V47" s="142"/>
      <c r="W47" s="142"/>
      <c r="X47" s="142"/>
      <c r="Y47" s="142"/>
      <c r="Z47" s="142"/>
      <c r="AA47" s="142"/>
      <c r="AB47" s="142"/>
      <c r="AC47" s="142"/>
      <c r="AD47" s="143"/>
    </row>
    <row r="48" spans="2:36" ht="6.75" customHeight="1">
      <c r="B48" s="132" t="s">
        <v>46</v>
      </c>
      <c r="C48" s="133"/>
      <c r="D48" s="133"/>
      <c r="E48" s="133"/>
      <c r="F48" s="133"/>
      <c r="G48" s="133"/>
      <c r="H48" s="133"/>
      <c r="I48" s="133"/>
      <c r="J48" s="134"/>
      <c r="K48" s="135" t="s">
        <v>258</v>
      </c>
      <c r="L48" s="136"/>
      <c r="M48" s="136"/>
      <c r="N48" s="136"/>
      <c r="O48" s="136"/>
      <c r="P48" s="136"/>
      <c r="Q48" s="136"/>
      <c r="R48" s="136"/>
      <c r="S48" s="137"/>
      <c r="T48" s="138" t="s">
        <v>255</v>
      </c>
      <c r="U48" s="139"/>
      <c r="V48" s="139"/>
      <c r="W48" s="139"/>
      <c r="X48" s="139"/>
      <c r="Y48" s="139"/>
      <c r="Z48" s="139"/>
      <c r="AA48" s="139"/>
      <c r="AB48" s="139"/>
      <c r="AC48" s="139"/>
      <c r="AD48" s="140"/>
    </row>
    <row r="49" spans="2:30" ht="20.25" customHeight="1">
      <c r="B49" s="132"/>
      <c r="C49" s="133"/>
      <c r="D49" s="133"/>
      <c r="E49" s="133"/>
      <c r="F49" s="133"/>
      <c r="G49" s="133"/>
      <c r="H49" s="133"/>
      <c r="I49" s="133"/>
      <c r="J49" s="134"/>
      <c r="K49" s="135"/>
      <c r="L49" s="136"/>
      <c r="M49" s="136"/>
      <c r="N49" s="136"/>
      <c r="O49" s="136"/>
      <c r="P49" s="136"/>
      <c r="Q49" s="136"/>
      <c r="R49" s="136"/>
      <c r="S49" s="137"/>
      <c r="T49" s="141"/>
      <c r="U49" s="142"/>
      <c r="V49" s="142"/>
      <c r="W49" s="142"/>
      <c r="X49" s="142"/>
      <c r="Y49" s="142"/>
      <c r="Z49" s="142"/>
      <c r="AA49" s="142"/>
      <c r="AB49" s="142"/>
      <c r="AC49" s="142"/>
      <c r="AD49" s="143"/>
    </row>
    <row r="50" spans="2:30" ht="27" customHeight="1">
      <c r="B50" s="96" t="s">
        <v>47</v>
      </c>
      <c r="C50" s="97"/>
      <c r="D50" s="97"/>
      <c r="E50" s="97"/>
      <c r="F50" s="97"/>
      <c r="G50" s="97"/>
      <c r="H50" s="97"/>
      <c r="I50" s="97"/>
      <c r="J50" s="98"/>
      <c r="K50" s="144" t="s">
        <v>259</v>
      </c>
      <c r="L50" s="145"/>
      <c r="M50" s="145"/>
      <c r="N50" s="145"/>
      <c r="O50" s="145"/>
      <c r="P50" s="145"/>
      <c r="Q50" s="145"/>
      <c r="R50" s="145"/>
      <c r="S50" s="145"/>
      <c r="T50" s="145"/>
      <c r="U50" s="145"/>
      <c r="V50" s="145"/>
      <c r="W50" s="145"/>
      <c r="X50" s="145"/>
      <c r="Y50" s="145"/>
      <c r="Z50" s="145"/>
      <c r="AA50" s="145"/>
      <c r="AB50" s="145"/>
      <c r="AC50" s="145"/>
      <c r="AD50" s="146"/>
    </row>
    <row r="51" spans="2:30" ht="27" customHeight="1">
      <c r="B51" s="132" t="s">
        <v>159</v>
      </c>
      <c r="C51" s="133"/>
      <c r="D51" s="133"/>
      <c r="E51" s="133"/>
      <c r="F51" s="133"/>
      <c r="G51" s="133"/>
      <c r="H51" s="133"/>
      <c r="I51" s="133"/>
      <c r="J51" s="134"/>
      <c r="K51" s="136" t="s">
        <v>204</v>
      </c>
      <c r="L51" s="136"/>
      <c r="M51" s="136"/>
      <c r="N51" s="136"/>
      <c r="O51" s="136"/>
      <c r="P51" s="136"/>
      <c r="Q51" s="136"/>
      <c r="R51" s="136"/>
      <c r="S51" s="136"/>
      <c r="T51" s="136"/>
      <c r="U51" s="136"/>
      <c r="V51" s="136"/>
      <c r="W51" s="136"/>
      <c r="X51" s="136"/>
      <c r="Y51" s="136"/>
      <c r="Z51" s="136"/>
      <c r="AA51" s="136"/>
      <c r="AB51" s="136"/>
      <c r="AC51" s="136"/>
      <c r="AD51" s="137"/>
    </row>
    <row r="52" spans="2:30" ht="12" customHeight="1"/>
    <row r="53" spans="2:30" ht="20.25" customHeight="1">
      <c r="D53" s="66" t="str">
        <f>IF(SF_Data!AA5="-","","ホームページスペースサービスのご利用設定項目")</f>
        <v>ホームページスペースサービスのご利用設定項目</v>
      </c>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row>
    <row r="54" spans="2:30" ht="27" customHeight="1">
      <c r="B54" s="110" t="str">
        <f>IF(SF_Data!AA5="-","","お客様のホームページURL")</f>
        <v>お客様のホームページURL</v>
      </c>
      <c r="C54" s="110"/>
      <c r="D54" s="110"/>
      <c r="E54" s="110"/>
      <c r="F54" s="110"/>
      <c r="G54" s="110"/>
      <c r="H54" s="110"/>
      <c r="I54" s="110"/>
      <c r="J54" s="110"/>
      <c r="K54" s="131" t="str">
        <f>IF(SF_Data!AA5="-","","https://home.cs-contact.jp"&amp;"/~"&amp; SF_Data!AA5 &amp;"/")</f>
        <v>https://home.cs-contact.jp/~/</v>
      </c>
      <c r="L54" s="131"/>
      <c r="M54" s="131"/>
      <c r="N54" s="131"/>
      <c r="O54" s="131"/>
      <c r="P54" s="131"/>
      <c r="Q54" s="131"/>
      <c r="R54" s="131"/>
      <c r="S54" s="131"/>
      <c r="T54" s="131"/>
      <c r="U54" s="131"/>
      <c r="V54" s="131"/>
      <c r="W54" s="131"/>
      <c r="X54" s="131"/>
      <c r="Y54" s="131"/>
      <c r="Z54" s="131"/>
      <c r="AA54" s="131"/>
      <c r="AB54" s="131"/>
      <c r="AC54" s="131"/>
      <c r="AD54" s="131"/>
    </row>
    <row r="55" spans="2:30" ht="27" customHeight="1">
      <c r="B55" s="110" t="str">
        <f>IF(SF_Data!AA5="-","","ユーザー名")</f>
        <v>ユーザー名</v>
      </c>
      <c r="C55" s="110"/>
      <c r="D55" s="110"/>
      <c r="E55" s="110"/>
      <c r="F55" s="110"/>
      <c r="G55" s="110"/>
      <c r="H55" s="110"/>
      <c r="I55" s="110"/>
      <c r="J55" s="110"/>
      <c r="K55" s="131">
        <f>IF(SF_Data!AA5="-","",SF_Data!AA5)</f>
        <v>0</v>
      </c>
      <c r="L55" s="131"/>
      <c r="M55" s="131"/>
      <c r="N55" s="131"/>
      <c r="O55" s="131"/>
      <c r="P55" s="131"/>
      <c r="Q55" s="131"/>
      <c r="R55" s="131"/>
      <c r="S55" s="131"/>
      <c r="T55" s="131"/>
      <c r="U55" s="131"/>
      <c r="V55" s="131"/>
      <c r="W55" s="131"/>
      <c r="X55" s="131"/>
      <c r="Y55" s="131"/>
      <c r="Z55" s="131"/>
      <c r="AA55" s="131"/>
      <c r="AB55" s="131"/>
      <c r="AC55" s="131"/>
      <c r="AD55" s="131"/>
    </row>
    <row r="56" spans="2:30" ht="27" customHeight="1">
      <c r="B56" s="110" t="str">
        <f>IF(SF_Data!AA5="-","","FTPサーバーホスト名")</f>
        <v>FTPサーバーホスト名</v>
      </c>
      <c r="C56" s="110"/>
      <c r="D56" s="110"/>
      <c r="E56" s="110"/>
      <c r="F56" s="110"/>
      <c r="G56" s="110"/>
      <c r="H56" s="110"/>
      <c r="I56" s="110"/>
      <c r="J56" s="110"/>
      <c r="K56" s="131" t="str">
        <f>IF(SF_Data!AA5="-","","home.cs-contact.jp")</f>
        <v>home.cs-contact.jp</v>
      </c>
      <c r="L56" s="131"/>
      <c r="M56" s="131"/>
      <c r="N56" s="131"/>
      <c r="O56" s="131"/>
      <c r="P56" s="131"/>
      <c r="Q56" s="131"/>
      <c r="R56" s="131"/>
      <c r="S56" s="131"/>
      <c r="T56" s="131"/>
      <c r="U56" s="131"/>
      <c r="V56" s="131"/>
      <c r="W56" s="131"/>
      <c r="X56" s="131"/>
      <c r="Y56" s="131"/>
      <c r="Z56" s="131"/>
      <c r="AA56" s="131"/>
      <c r="AB56" s="131"/>
      <c r="AC56" s="131"/>
      <c r="AD56" s="131"/>
    </row>
    <row r="57" spans="2:30" ht="8.25" customHeight="1"/>
    <row r="58" spans="2:30" ht="8.25" customHeight="1"/>
    <row r="59" spans="2:30" ht="8.25" customHeight="1"/>
    <row r="60" spans="2:30" ht="58.2" customHeight="1"/>
    <row r="61" spans="2:30" ht="20.25" customHeight="1">
      <c r="D61" s="66" t="s">
        <v>249</v>
      </c>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row>
    <row r="62" spans="2:30" ht="27" customHeight="1">
      <c r="B62" s="129" t="s">
        <v>21</v>
      </c>
      <c r="C62" s="129"/>
      <c r="D62" s="129"/>
      <c r="E62" s="129"/>
      <c r="F62" s="129"/>
      <c r="G62" s="129"/>
      <c r="H62" s="129"/>
      <c r="I62" s="129"/>
      <c r="J62" s="129"/>
      <c r="K62" s="130">
        <f>SF_Data!F5</f>
        <v>0</v>
      </c>
      <c r="L62" s="130"/>
      <c r="M62" s="130"/>
      <c r="N62" s="130"/>
      <c r="O62" s="130"/>
      <c r="P62" s="130"/>
      <c r="Q62" s="130"/>
      <c r="R62" s="130"/>
      <c r="S62" s="130"/>
      <c r="T62" s="130"/>
      <c r="U62" s="130"/>
      <c r="V62" s="130"/>
      <c r="W62" s="130"/>
      <c r="X62" s="130"/>
      <c r="Y62" s="130"/>
      <c r="Z62" s="130"/>
      <c r="AA62" s="130"/>
      <c r="AB62" s="130"/>
      <c r="AC62" s="130"/>
      <c r="AD62" s="130"/>
    </row>
    <row r="63" spans="2:30" ht="27" customHeight="1">
      <c r="B63" s="129" t="s">
        <v>48</v>
      </c>
      <c r="C63" s="129"/>
      <c r="D63" s="129"/>
      <c r="E63" s="129"/>
      <c r="F63" s="129"/>
      <c r="G63" s="129"/>
      <c r="H63" s="129"/>
      <c r="I63" s="129"/>
      <c r="J63" s="129"/>
      <c r="K63" s="130">
        <f>SF_Data!P5</f>
        <v>0</v>
      </c>
      <c r="L63" s="130"/>
      <c r="M63" s="130"/>
      <c r="N63" s="130"/>
      <c r="O63" s="130"/>
      <c r="P63" s="130"/>
      <c r="Q63" s="130"/>
      <c r="R63" s="130"/>
      <c r="S63" s="130"/>
      <c r="T63" s="130"/>
      <c r="U63" s="130"/>
      <c r="V63" s="130"/>
      <c r="W63" s="130"/>
      <c r="X63" s="130"/>
      <c r="Y63" s="130"/>
      <c r="Z63" s="130"/>
      <c r="AA63" s="130"/>
      <c r="AB63" s="130"/>
      <c r="AC63" s="130"/>
      <c r="AD63" s="130"/>
    </row>
    <row r="64" spans="2:30" ht="27" customHeight="1">
      <c r="B64" s="129" t="s">
        <v>49</v>
      </c>
      <c r="C64" s="129"/>
      <c r="D64" s="129"/>
      <c r="E64" s="129"/>
      <c r="F64" s="129"/>
      <c r="G64" s="129"/>
      <c r="H64" s="129"/>
      <c r="I64" s="129"/>
      <c r="J64" s="129"/>
      <c r="K64" s="130">
        <f>SF_Data!Q5</f>
        <v>0</v>
      </c>
      <c r="L64" s="130"/>
      <c r="M64" s="130"/>
      <c r="N64" s="130"/>
      <c r="O64" s="130"/>
      <c r="P64" s="130"/>
      <c r="Q64" s="130"/>
      <c r="R64" s="130"/>
      <c r="S64" s="130"/>
      <c r="T64" s="130"/>
      <c r="U64" s="130"/>
      <c r="V64" s="130"/>
      <c r="W64" s="130"/>
      <c r="X64" s="130"/>
      <c r="Y64" s="130"/>
      <c r="Z64" s="130"/>
      <c r="AA64" s="130"/>
      <c r="AB64" s="130"/>
      <c r="AC64" s="130"/>
      <c r="AD64" s="130"/>
    </row>
    <row r="65" spans="2:30" ht="6" customHeight="1">
      <c r="B65" s="17"/>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6"/>
    </row>
    <row r="66" spans="2:30" ht="13.5" customHeight="1">
      <c r="B66" s="116" t="s">
        <v>50</v>
      </c>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8"/>
    </row>
    <row r="67" spans="2:30" ht="13.5" customHeight="1">
      <c r="B67" s="116" t="s">
        <v>51</v>
      </c>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8"/>
    </row>
    <row r="68" spans="2:30" ht="13.5" customHeight="1">
      <c r="B68" s="116" t="s">
        <v>52</v>
      </c>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8"/>
    </row>
    <row r="69" spans="2:30" ht="13.5" customHeight="1">
      <c r="B69" s="116" t="s">
        <v>53</v>
      </c>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8"/>
    </row>
    <row r="70" spans="2:30" ht="13.5" customHeight="1">
      <c r="B70" s="119" t="s">
        <v>54</v>
      </c>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1"/>
    </row>
    <row r="71" spans="2:30" ht="18" customHeight="1"/>
    <row r="72" spans="2:30" ht="20.25" customHeight="1">
      <c r="D72" s="66" t="s">
        <v>55</v>
      </c>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row>
    <row r="73" spans="2:30" ht="6.75" customHeight="1">
      <c r="B73" s="93" t="s">
        <v>56</v>
      </c>
      <c r="C73" s="94"/>
      <c r="D73" s="94"/>
      <c r="E73" s="94"/>
      <c r="F73" s="94"/>
      <c r="G73" s="94"/>
      <c r="H73" s="94"/>
      <c r="I73" s="94"/>
      <c r="J73" s="95"/>
      <c r="K73" s="8"/>
      <c r="L73" s="9"/>
      <c r="M73" s="9"/>
      <c r="N73" s="9"/>
      <c r="O73" s="9"/>
      <c r="P73" s="9"/>
      <c r="Q73" s="9"/>
      <c r="R73" s="9"/>
      <c r="S73" s="9"/>
      <c r="T73" s="9"/>
      <c r="U73" s="9"/>
      <c r="V73" s="9"/>
      <c r="W73" s="9"/>
      <c r="X73" s="9"/>
      <c r="Y73" s="9"/>
      <c r="Z73" s="9"/>
      <c r="AA73" s="9"/>
      <c r="AB73" s="9"/>
      <c r="AC73" s="9"/>
      <c r="AD73" s="10"/>
    </row>
    <row r="74" spans="2:30" ht="20.25" customHeight="1">
      <c r="B74" s="96"/>
      <c r="C74" s="97"/>
      <c r="D74" s="97"/>
      <c r="E74" s="97"/>
      <c r="F74" s="97"/>
      <c r="G74" s="97"/>
      <c r="H74" s="97"/>
      <c r="I74" s="97"/>
      <c r="J74" s="98"/>
      <c r="K74" s="14"/>
      <c r="L74" s="122" t="s">
        <v>161</v>
      </c>
      <c r="M74" s="122"/>
      <c r="N74" s="122"/>
      <c r="O74" s="122"/>
      <c r="P74" s="122"/>
      <c r="Q74" s="122"/>
      <c r="R74" s="122"/>
      <c r="S74" s="122"/>
      <c r="T74" s="122"/>
      <c r="U74" s="122"/>
      <c r="V74" s="122"/>
      <c r="W74" s="122"/>
      <c r="X74" s="122"/>
      <c r="Y74" s="122"/>
      <c r="Z74" s="122"/>
      <c r="AA74" s="122"/>
      <c r="AB74" s="122"/>
      <c r="AC74" s="122"/>
      <c r="AD74" s="123"/>
    </row>
    <row r="75" spans="2:30" ht="20.25" customHeight="1">
      <c r="B75" s="96"/>
      <c r="C75" s="97"/>
      <c r="D75" s="97"/>
      <c r="E75" s="97"/>
      <c r="F75" s="97"/>
      <c r="G75" s="97"/>
      <c r="H75" s="97"/>
      <c r="I75" s="97"/>
      <c r="J75" s="98"/>
      <c r="K75" s="14"/>
      <c r="L75" s="122" t="s">
        <v>57</v>
      </c>
      <c r="M75" s="122"/>
      <c r="N75" s="122"/>
      <c r="O75" s="122"/>
      <c r="P75" s="122"/>
      <c r="Q75" s="122"/>
      <c r="R75" s="122"/>
      <c r="S75" s="122"/>
      <c r="T75" s="122"/>
      <c r="U75" s="122"/>
      <c r="V75" s="122"/>
      <c r="W75" s="122"/>
      <c r="X75" s="122"/>
      <c r="Y75" s="122"/>
      <c r="Z75" s="122"/>
      <c r="AA75" s="122"/>
      <c r="AB75" s="122"/>
      <c r="AC75" s="122"/>
      <c r="AD75" s="123"/>
    </row>
    <row r="76" spans="2:30" ht="20.25" customHeight="1">
      <c r="B76" s="96"/>
      <c r="C76" s="97"/>
      <c r="D76" s="97"/>
      <c r="E76" s="97"/>
      <c r="F76" s="97"/>
      <c r="G76" s="97"/>
      <c r="H76" s="97"/>
      <c r="I76" s="97"/>
      <c r="J76" s="98"/>
      <c r="K76" s="14"/>
      <c r="L76" s="122" t="s">
        <v>58</v>
      </c>
      <c r="M76" s="122"/>
      <c r="N76" s="122"/>
      <c r="O76" s="122"/>
      <c r="P76" s="122"/>
      <c r="Q76" s="122"/>
      <c r="R76" s="122"/>
      <c r="S76" s="122"/>
      <c r="T76" s="122"/>
      <c r="U76" s="122"/>
      <c r="V76" s="122"/>
      <c r="W76" s="122"/>
      <c r="X76" s="122"/>
      <c r="Y76" s="122"/>
      <c r="Z76" s="122"/>
      <c r="AA76" s="122"/>
      <c r="AB76" s="122"/>
      <c r="AC76" s="122"/>
      <c r="AD76" s="123"/>
    </row>
    <row r="77" spans="2:30" ht="13.5" customHeight="1">
      <c r="B77" s="99"/>
      <c r="C77" s="100"/>
      <c r="D77" s="100"/>
      <c r="E77" s="100"/>
      <c r="F77" s="100"/>
      <c r="G77" s="100"/>
      <c r="H77" s="100"/>
      <c r="I77" s="100"/>
      <c r="J77" s="101"/>
      <c r="K77" s="11"/>
      <c r="L77" s="12"/>
      <c r="M77" s="12"/>
      <c r="N77" s="12"/>
      <c r="O77" s="12"/>
      <c r="P77" s="12"/>
      <c r="Q77" s="12"/>
      <c r="R77" s="12"/>
      <c r="S77" s="12"/>
      <c r="T77" s="12"/>
      <c r="U77" s="12"/>
      <c r="V77" s="12"/>
      <c r="W77" s="12"/>
      <c r="X77" s="12"/>
      <c r="Y77" s="12"/>
      <c r="Z77" s="12"/>
      <c r="AA77" s="12"/>
      <c r="AB77" s="12"/>
      <c r="AC77" s="12"/>
      <c r="AD77" s="13"/>
    </row>
    <row r="78" spans="2:30" ht="18" customHeight="1"/>
    <row r="79" spans="2:30" ht="12" customHeight="1"/>
    <row r="80" spans="2:30" ht="20.25" customHeight="1">
      <c r="D80" s="66" t="s">
        <v>65</v>
      </c>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row>
    <row r="81" spans="2:30" ht="6.75" customHeight="1">
      <c r="B81" s="93" t="s">
        <v>66</v>
      </c>
      <c r="C81" s="94"/>
      <c r="D81" s="94"/>
      <c r="E81" s="94"/>
      <c r="F81" s="95"/>
      <c r="G81" s="8"/>
      <c r="H81" s="9"/>
      <c r="I81" s="9"/>
      <c r="J81" s="9"/>
      <c r="K81" s="9"/>
      <c r="L81" s="9"/>
      <c r="M81" s="9"/>
      <c r="N81" s="9"/>
      <c r="O81" s="9"/>
      <c r="P81" s="9"/>
      <c r="Q81" s="9"/>
      <c r="R81" s="9"/>
      <c r="S81" s="9"/>
      <c r="T81" s="9"/>
      <c r="U81" s="9"/>
      <c r="V81" s="9"/>
      <c r="W81" s="9"/>
      <c r="X81" s="9"/>
      <c r="Y81" s="9"/>
      <c r="Z81" s="9"/>
      <c r="AA81" s="9"/>
      <c r="AB81" s="9"/>
      <c r="AC81" s="10"/>
    </row>
    <row r="82" spans="2:30" ht="13.5" customHeight="1">
      <c r="B82" s="96"/>
      <c r="C82" s="97"/>
      <c r="D82" s="97"/>
      <c r="E82" s="97"/>
      <c r="F82" s="98"/>
      <c r="G82" s="14"/>
      <c r="H82" s="69" t="s">
        <v>67</v>
      </c>
      <c r="I82" s="69"/>
      <c r="J82" s="69"/>
      <c r="K82" s="69"/>
      <c r="L82" s="69"/>
      <c r="M82" s="69"/>
      <c r="N82" s="69"/>
      <c r="O82" s="69"/>
      <c r="P82" s="69"/>
      <c r="Q82" s="69"/>
      <c r="R82" s="69"/>
      <c r="S82" s="69"/>
      <c r="T82" s="69"/>
      <c r="U82" s="69"/>
      <c r="V82" s="69"/>
      <c r="W82" s="69"/>
      <c r="X82" s="69"/>
      <c r="Y82" s="69"/>
      <c r="Z82" s="69"/>
      <c r="AA82" s="69"/>
      <c r="AB82" s="69"/>
      <c r="AC82" s="15"/>
    </row>
    <row r="83" spans="2:30" ht="13.5" customHeight="1">
      <c r="B83" s="96"/>
      <c r="C83" s="97"/>
      <c r="D83" s="97"/>
      <c r="E83" s="97"/>
      <c r="F83" s="98"/>
      <c r="G83" s="14"/>
      <c r="H83" s="69" t="s">
        <v>68</v>
      </c>
      <c r="I83" s="69"/>
      <c r="J83" s="69"/>
      <c r="K83" s="69"/>
      <c r="L83" s="69"/>
      <c r="M83" s="69"/>
      <c r="N83" s="69"/>
      <c r="O83" s="69"/>
      <c r="P83" s="69"/>
      <c r="Q83" s="69"/>
      <c r="R83" s="69"/>
      <c r="S83" s="69"/>
      <c r="T83" s="69"/>
      <c r="U83" s="69"/>
      <c r="V83" s="69"/>
      <c r="W83" s="69"/>
      <c r="X83" s="69"/>
      <c r="Y83" s="69"/>
      <c r="Z83" s="69"/>
      <c r="AA83" s="69"/>
      <c r="AB83" s="69"/>
      <c r="AC83" s="15"/>
    </row>
    <row r="84" spans="2:30" ht="13.5" customHeight="1">
      <c r="B84" s="96"/>
      <c r="C84" s="97"/>
      <c r="D84" s="97"/>
      <c r="E84" s="97"/>
      <c r="F84" s="98"/>
      <c r="G84" s="14"/>
      <c r="H84" s="69" t="str">
        <f>IF(SF_Data!X5=TRUE,"ＴＥＬ ： 0120-901-197　ＦＡＸ ： 0120-922-068","ＴＥＬ ： 0120-922-804　ＦＡＸ ： 0120-922-068")</f>
        <v>ＴＥＬ ： 0120-922-804　ＦＡＸ ： 0120-922-068</v>
      </c>
      <c r="I84" s="69"/>
      <c r="J84" s="69"/>
      <c r="K84" s="69"/>
      <c r="L84" s="69"/>
      <c r="M84" s="69"/>
      <c r="N84" s="69"/>
      <c r="O84" s="69"/>
      <c r="P84" s="69"/>
      <c r="Q84" s="69"/>
      <c r="R84" s="69"/>
      <c r="S84" s="69"/>
      <c r="T84" s="69"/>
      <c r="U84" s="69"/>
      <c r="V84" s="69"/>
      <c r="W84" s="69"/>
      <c r="X84" s="69"/>
      <c r="Y84" s="69"/>
      <c r="Z84" s="69"/>
      <c r="AA84" s="69"/>
      <c r="AB84" s="69"/>
      <c r="AC84" s="15"/>
    </row>
    <row r="85" spans="2:30" ht="13.5" customHeight="1">
      <c r="B85" s="96"/>
      <c r="C85" s="97"/>
      <c r="D85" s="97"/>
      <c r="E85" s="97"/>
      <c r="F85" s="98"/>
      <c r="G85" s="14"/>
      <c r="H85" s="69" t="str">
        <f>IF(SF_Data!X5=TRUE,"　　　24時間(365日)","平日)10:00～21:00　土日祝日)10:00～17:00")</f>
        <v>平日)10:00～21:00　土日祝日)10:00～17:00</v>
      </c>
      <c r="I85" s="69"/>
      <c r="J85" s="69"/>
      <c r="K85" s="69"/>
      <c r="L85" s="69"/>
      <c r="M85" s="69"/>
      <c r="N85" s="69"/>
      <c r="O85" s="69"/>
      <c r="P85" s="69"/>
      <c r="Q85" s="69"/>
      <c r="R85" s="69"/>
      <c r="S85" s="69"/>
      <c r="T85" s="69"/>
      <c r="U85" s="69"/>
      <c r="V85" s="69"/>
      <c r="W85" s="69"/>
      <c r="X85" s="69"/>
      <c r="Y85" s="69"/>
      <c r="Z85" s="69"/>
      <c r="AA85" s="69"/>
      <c r="AB85" s="69"/>
      <c r="AC85" s="15"/>
    </row>
    <row r="86" spans="2:30" ht="13.5" customHeight="1">
      <c r="B86" s="96"/>
      <c r="C86" s="97"/>
      <c r="D86" s="97"/>
      <c r="E86" s="97"/>
      <c r="F86" s="98"/>
      <c r="G86" s="14"/>
      <c r="H86" s="64" t="s">
        <v>197</v>
      </c>
      <c r="I86" s="64"/>
      <c r="J86" s="64"/>
      <c r="K86" s="64"/>
      <c r="L86" s="64"/>
      <c r="M86" s="64"/>
      <c r="N86" s="64"/>
      <c r="O86" s="64"/>
      <c r="P86" s="64"/>
      <c r="Q86" s="64"/>
      <c r="R86" s="64"/>
      <c r="S86" s="64"/>
      <c r="T86" s="64"/>
      <c r="U86" s="64"/>
      <c r="V86" s="64"/>
      <c r="W86" s="64"/>
      <c r="X86" s="64"/>
      <c r="Y86" s="64"/>
      <c r="Z86" s="64"/>
      <c r="AA86" s="64"/>
      <c r="AB86" s="64"/>
      <c r="AC86" s="15"/>
    </row>
    <row r="87" spans="2:30" ht="6.75" customHeight="1">
      <c r="B87" s="99"/>
      <c r="C87" s="100"/>
      <c r="D87" s="100"/>
      <c r="E87" s="100"/>
      <c r="F87" s="101"/>
      <c r="G87" s="11"/>
      <c r="H87" s="12"/>
      <c r="I87" s="12"/>
      <c r="J87" s="12"/>
      <c r="K87" s="12"/>
      <c r="L87" s="12"/>
      <c r="M87" s="12"/>
      <c r="N87" s="12"/>
      <c r="O87" s="12"/>
      <c r="P87" s="12"/>
      <c r="Q87" s="12"/>
      <c r="R87" s="12"/>
      <c r="S87" s="12"/>
      <c r="T87" s="12"/>
      <c r="U87" s="12"/>
      <c r="V87" s="12"/>
      <c r="W87" s="12"/>
      <c r="X87" s="12"/>
      <c r="Y87" s="12"/>
      <c r="Z87" s="12"/>
      <c r="AA87" s="12"/>
      <c r="AB87" s="12"/>
      <c r="AC87" s="13"/>
    </row>
    <row r="88" spans="2:30" ht="6" customHeight="1">
      <c r="B88" s="8"/>
      <c r="C88" s="9"/>
      <c r="D88" s="9"/>
      <c r="E88" s="9"/>
      <c r="F88" s="9"/>
      <c r="G88" s="9"/>
      <c r="H88" s="9"/>
      <c r="I88" s="9"/>
      <c r="J88" s="9"/>
      <c r="K88" s="9"/>
      <c r="L88" s="9"/>
      <c r="M88" s="9"/>
      <c r="N88" s="9"/>
      <c r="O88" s="9"/>
      <c r="P88" s="9"/>
      <c r="Q88" s="9"/>
      <c r="R88" s="9"/>
      <c r="S88" s="9"/>
      <c r="T88" s="9"/>
      <c r="U88" s="9"/>
      <c r="V88" s="9"/>
      <c r="W88" s="9"/>
      <c r="X88" s="9"/>
      <c r="Y88" s="9"/>
      <c r="Z88" s="9"/>
      <c r="AA88" s="9"/>
      <c r="AB88" s="9"/>
      <c r="AC88" s="10"/>
    </row>
    <row r="89" spans="2:30" ht="13.5" customHeight="1">
      <c r="B89" s="14"/>
      <c r="C89" s="187" t="s">
        <v>260</v>
      </c>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5"/>
    </row>
    <row r="90" spans="2:30" ht="13.5" customHeight="1">
      <c r="B90" s="11"/>
      <c r="C90" s="65" t="s">
        <v>69</v>
      </c>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13"/>
    </row>
    <row r="91" spans="2:30" ht="18" customHeight="1"/>
    <row r="92" spans="2:30" ht="20.25" customHeight="1">
      <c r="D92" s="66" t="s">
        <v>70</v>
      </c>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row>
    <row r="93" spans="2:30" ht="13.5" customHeight="1">
      <c r="B93" s="17"/>
      <c r="C93" s="67" t="s">
        <v>71</v>
      </c>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18"/>
    </row>
    <row r="94" spans="2:30" ht="13.5" customHeight="1">
      <c r="B94" s="14"/>
      <c r="C94" s="75" t="s">
        <v>163</v>
      </c>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18"/>
    </row>
    <row r="95" spans="2:30" ht="13.5" customHeight="1">
      <c r="B95" s="14"/>
      <c r="C95" s="186" t="s">
        <v>160</v>
      </c>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186"/>
      <c r="AC95" s="186"/>
      <c r="AD95" s="18"/>
    </row>
    <row r="96" spans="2:30" ht="13.5" customHeight="1">
      <c r="B96" s="14"/>
      <c r="C96" s="75" t="s">
        <v>164</v>
      </c>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18"/>
    </row>
    <row r="97" spans="2:30" ht="13.5" customHeight="1">
      <c r="B97" s="14"/>
      <c r="C97" s="186" t="s">
        <v>72</v>
      </c>
      <c r="D97" s="186"/>
      <c r="E97" s="186"/>
      <c r="F97" s="186"/>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
    </row>
    <row r="98" spans="2:30" ht="13.5" customHeight="1">
      <c r="B98" s="14"/>
      <c r="C98" s="186" t="s">
        <v>73</v>
      </c>
      <c r="D98" s="186"/>
      <c r="E98" s="186"/>
      <c r="F98" s="186"/>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
    </row>
    <row r="99" spans="2:30" ht="13.5" customHeight="1">
      <c r="B99" s="14"/>
      <c r="C99" s="75" t="s">
        <v>165</v>
      </c>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18"/>
    </row>
    <row r="100" spans="2:30" ht="13.5" customHeight="1">
      <c r="B100" s="11"/>
      <c r="C100" s="80" t="s">
        <v>166</v>
      </c>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18"/>
    </row>
    <row r="101" spans="2:30" ht="48" customHeight="1"/>
    <row r="102" spans="2:30" ht="13.2"/>
    <row r="103" spans="2:30" ht="11.25" customHeight="1"/>
    <row r="104" spans="2:30" ht="5.25" customHeight="1"/>
  </sheetData>
  <mergeCells count="125">
    <mergeCell ref="C95:AC95"/>
    <mergeCell ref="C96:AC96"/>
    <mergeCell ref="C97:AC97"/>
    <mergeCell ref="C98:AC98"/>
    <mergeCell ref="C99:AC99"/>
    <mergeCell ref="C100:AC100"/>
    <mergeCell ref="H86:AB86"/>
    <mergeCell ref="C89:AB89"/>
    <mergeCell ref="C90:AB90"/>
    <mergeCell ref="D92:AD92"/>
    <mergeCell ref="C93:AC93"/>
    <mergeCell ref="C94:AC94"/>
    <mergeCell ref="D80:AD80"/>
    <mergeCell ref="B81:F87"/>
    <mergeCell ref="H82:AB82"/>
    <mergeCell ref="H83:AB83"/>
    <mergeCell ref="H84:AB84"/>
    <mergeCell ref="H85:AB85"/>
    <mergeCell ref="B73:J77"/>
    <mergeCell ref="L74:AD74"/>
    <mergeCell ref="L75:AD75"/>
    <mergeCell ref="L76:AD76"/>
    <mergeCell ref="B66:AD66"/>
    <mergeCell ref="B67:AD67"/>
    <mergeCell ref="B68:AD68"/>
    <mergeCell ref="B69:AD69"/>
    <mergeCell ref="B70:AD70"/>
    <mergeCell ref="D72:AD72"/>
    <mergeCell ref="D61:AD61"/>
    <mergeCell ref="B62:J62"/>
    <mergeCell ref="K62:AD62"/>
    <mergeCell ref="B63:J63"/>
    <mergeCell ref="K63:AD63"/>
    <mergeCell ref="B64:J64"/>
    <mergeCell ref="K64:AD64"/>
    <mergeCell ref="D53:AD53"/>
    <mergeCell ref="B54:J54"/>
    <mergeCell ref="K54:AD54"/>
    <mergeCell ref="B55:J55"/>
    <mergeCell ref="K55:AD55"/>
    <mergeCell ref="B56:J56"/>
    <mergeCell ref="K56:AD56"/>
    <mergeCell ref="B48:J49"/>
    <mergeCell ref="K48:S49"/>
    <mergeCell ref="T48:AD49"/>
    <mergeCell ref="B50:J50"/>
    <mergeCell ref="K50:AD50"/>
    <mergeCell ref="B51:J51"/>
    <mergeCell ref="K51:AD51"/>
    <mergeCell ref="B46:J47"/>
    <mergeCell ref="K46:S47"/>
    <mergeCell ref="T46:AD47"/>
    <mergeCell ref="B38:J39"/>
    <mergeCell ref="K38:AD39"/>
    <mergeCell ref="D41:AD41"/>
    <mergeCell ref="B42:J42"/>
    <mergeCell ref="K42:AD42"/>
    <mergeCell ref="B43:J43"/>
    <mergeCell ref="K43:AD43"/>
    <mergeCell ref="AA36:AD37"/>
    <mergeCell ref="B44:J45"/>
    <mergeCell ref="K44:S45"/>
    <mergeCell ref="T44:AD45"/>
    <mergeCell ref="B34:J37"/>
    <mergeCell ref="K34:M34"/>
    <mergeCell ref="N34:O34"/>
    <mergeCell ref="P34:Q34"/>
    <mergeCell ref="S34:T34"/>
    <mergeCell ref="U34:W34"/>
    <mergeCell ref="B31:J33"/>
    <mergeCell ref="K31:M31"/>
    <mergeCell ref="N31:O31"/>
    <mergeCell ref="P31:Q31"/>
    <mergeCell ref="S31:T31"/>
    <mergeCell ref="U31:W31"/>
    <mergeCell ref="X34:Z34"/>
    <mergeCell ref="AA34:AD34"/>
    <mergeCell ref="K36:M37"/>
    <mergeCell ref="X31:Z31"/>
    <mergeCell ref="AA31:AD31"/>
    <mergeCell ref="K33:M33"/>
    <mergeCell ref="N33:O33"/>
    <mergeCell ref="P33:Q33"/>
    <mergeCell ref="S33:T33"/>
    <mergeCell ref="U33:W33"/>
    <mergeCell ref="X33:Z33"/>
    <mergeCell ref="AA33:AD33"/>
    <mergeCell ref="N36:O37"/>
    <mergeCell ref="P36:Q37"/>
    <mergeCell ref="R36:R37"/>
    <mergeCell ref="S36:T37"/>
    <mergeCell ref="U36:W37"/>
    <mergeCell ref="X36:Z37"/>
    <mergeCell ref="B28:J28"/>
    <mergeCell ref="K28:AD28"/>
    <mergeCell ref="B29:J30"/>
    <mergeCell ref="K29:R29"/>
    <mergeCell ref="S29:AD29"/>
    <mergeCell ref="K30:R30"/>
    <mergeCell ref="S30:AD30"/>
    <mergeCell ref="E23:AD23"/>
    <mergeCell ref="B25:J25"/>
    <mergeCell ref="K25:AD25"/>
    <mergeCell ref="B26:J26"/>
    <mergeCell ref="K26:AD26"/>
    <mergeCell ref="B27:J27"/>
    <mergeCell ref="K27:AD27"/>
    <mergeCell ref="C19:AE19"/>
    <mergeCell ref="C20:AE20"/>
    <mergeCell ref="E22:AA22"/>
    <mergeCell ref="D9:G9"/>
    <mergeCell ref="R9:AG9"/>
    <mergeCell ref="D10:H11"/>
    <mergeCell ref="R11:AG12"/>
    <mergeCell ref="C13:H13"/>
    <mergeCell ref="R13:AG13"/>
    <mergeCell ref="W2:AF2"/>
    <mergeCell ref="D3:F4"/>
    <mergeCell ref="G3:H4"/>
    <mergeCell ref="J4:N5"/>
    <mergeCell ref="D5:I6"/>
    <mergeCell ref="D7:I8"/>
    <mergeCell ref="R14:AG14"/>
    <mergeCell ref="A16:AH16"/>
    <mergeCell ref="A17:AH17"/>
  </mergeCells>
  <phoneticPr fontId="10"/>
  <pageMargins left="0.23622047244094491" right="0.23622047244094491" top="0.23622047244094491" bottom="0.23622047244094491" header="0.31496062992125984" footer="0.31496062992125984"/>
  <pageSetup paperSize="9" scale="87" orientation="portrait" r:id="rId1"/>
  <rowBreaks count="1" manualBreakCount="1">
    <brk id="59" max="33" man="1"/>
  </rowBreaks>
  <drawing r:id="rId2"/>
  <extLst>
    <ext xmlns:x14="http://schemas.microsoft.com/office/spreadsheetml/2009/9/main" uri="{78C0D931-6437-407d-A8EE-F0AAD7539E65}">
      <x14:conditionalFormattings>
        <x14:conditionalFormatting xmlns:xm="http://schemas.microsoft.com/office/excel/2006/main">
          <x14:cfRule type="expression" priority="1" id="{E7CA46E1-133D-47BC-A20E-BC87FB7AACC2}">
            <xm:f>SF_Data!$AA$2="-"</xm:f>
            <x14:dxf>
              <fill>
                <patternFill>
                  <bgColor theme="0"/>
                </patternFill>
              </fill>
              <border>
                <left/>
                <right/>
                <top/>
                <bottom/>
                <vertical/>
                <horizontal/>
              </border>
            </x14:dxf>
          </x14:cfRule>
          <xm:sqref>B54:AD56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92A1E-3946-494D-9CA0-4F48F23E89AF}">
  <sheetPr codeName="Sheet6"/>
  <dimension ref="A1:AL104"/>
  <sheetViews>
    <sheetView workbookViewId="0"/>
  </sheetViews>
  <sheetFormatPr defaultColWidth="6.88671875" defaultRowHeight="12.75" customHeight="1"/>
  <cols>
    <col min="1" max="1" width="8" customWidth="1"/>
    <col min="2" max="2" width="1.109375" customWidth="1"/>
    <col min="3" max="3" width="2.33203125" customWidth="1"/>
    <col min="4" max="5" width="3.44140625" customWidth="1"/>
    <col min="6" max="6" width="8" customWidth="1"/>
    <col min="7" max="7" width="1.109375" customWidth="1"/>
    <col min="8" max="8" width="18.33203125" customWidth="1"/>
    <col min="9" max="10" width="1.109375" customWidth="1"/>
    <col min="11" max="11" width="2.33203125" customWidth="1"/>
    <col min="12" max="12" width="3.44140625" customWidth="1"/>
    <col min="13" max="14" width="1.109375" customWidth="1"/>
    <col min="15" max="15" width="5.6640625" customWidth="1"/>
    <col min="16" max="16" width="3.5546875" customWidth="1"/>
    <col min="17" max="17" width="3.44140625" customWidth="1"/>
    <col min="19" max="19" width="4.5546875" customWidth="1"/>
    <col min="20" max="20" width="2.33203125" customWidth="1"/>
    <col min="21" max="21" width="1.109375" customWidth="1"/>
    <col min="22" max="22" width="4.5546875" customWidth="1"/>
    <col min="23" max="23" width="1.109375" customWidth="1"/>
    <col min="24" max="24" width="1.5546875" customWidth="1"/>
    <col min="25" max="25" width="3.33203125" customWidth="1"/>
    <col min="26" max="26" width="2" customWidth="1"/>
    <col min="27" max="27" width="1.109375" customWidth="1"/>
    <col min="28" max="28" width="3.44140625" customWidth="1"/>
    <col min="29" max="29" width="1.109375" customWidth="1"/>
    <col min="30" max="30" width="1" customWidth="1"/>
    <col min="31" max="31" width="1.33203125" customWidth="1"/>
    <col min="32" max="33" width="1.109375" customWidth="1"/>
    <col min="34" max="34" width="1.44140625" customWidth="1"/>
  </cols>
  <sheetData>
    <row r="1" spans="1:38" ht="6" customHeight="1"/>
    <row r="2" spans="1:38" ht="13.5" customHeight="1">
      <c r="W2" s="160">
        <f>SF_Data!J5</f>
        <v>0</v>
      </c>
      <c r="X2" s="160"/>
      <c r="Y2" s="160"/>
      <c r="Z2" s="160"/>
      <c r="AA2" s="160"/>
      <c r="AB2" s="160"/>
      <c r="AC2" s="160"/>
      <c r="AD2" s="160"/>
      <c r="AE2" s="160"/>
      <c r="AF2" s="160"/>
    </row>
    <row r="3" spans="1:38" ht="6.75" customHeight="1">
      <c r="C3" s="24"/>
      <c r="D3" s="164">
        <f>SF_Data!L5</f>
        <v>0</v>
      </c>
      <c r="E3" s="164"/>
      <c r="F3" s="164"/>
      <c r="G3" s="131" t="s">
        <v>167</v>
      </c>
      <c r="H3" s="131"/>
    </row>
    <row r="4" spans="1:38" ht="6.75" customHeight="1">
      <c r="C4" s="24"/>
      <c r="D4" s="164"/>
      <c r="E4" s="164"/>
      <c r="F4" s="164"/>
      <c r="G4" s="131"/>
      <c r="H4" s="131"/>
      <c r="J4" s="131"/>
      <c r="K4" s="131"/>
      <c r="L4" s="131"/>
      <c r="M4" s="131"/>
      <c r="N4" s="131"/>
    </row>
    <row r="5" spans="1:38" ht="6.75" customHeight="1">
      <c r="C5" s="24"/>
      <c r="D5" s="169">
        <f>SF_Data!M5</f>
        <v>0</v>
      </c>
      <c r="E5" s="169"/>
      <c r="F5" s="169"/>
      <c r="G5" s="169"/>
      <c r="H5" s="169"/>
      <c r="I5" s="169"/>
      <c r="J5" s="131"/>
      <c r="K5" s="131"/>
      <c r="L5" s="131"/>
      <c r="M5" s="131"/>
      <c r="N5" s="131"/>
    </row>
    <row r="6" spans="1:38" ht="6.75" customHeight="1">
      <c r="C6" s="24"/>
      <c r="D6" s="169"/>
      <c r="E6" s="169"/>
      <c r="F6" s="169"/>
      <c r="G6" s="169"/>
      <c r="H6" s="169"/>
      <c r="I6" s="169"/>
    </row>
    <row r="7" spans="1:38" ht="7.5" customHeight="1">
      <c r="C7" s="24"/>
      <c r="D7" s="169">
        <f>SF_Data!K5</f>
        <v>0</v>
      </c>
      <c r="E7" s="169"/>
      <c r="F7" s="169"/>
      <c r="G7" s="169"/>
      <c r="H7" s="169"/>
      <c r="I7" s="169"/>
      <c r="J7" s="24"/>
      <c r="K7" s="24"/>
    </row>
    <row r="8" spans="1:38" ht="6" customHeight="1">
      <c r="C8" s="24"/>
      <c r="D8" s="169"/>
      <c r="E8" s="169"/>
      <c r="F8" s="169"/>
      <c r="G8" s="169"/>
      <c r="H8" s="169"/>
      <c r="I8" s="169"/>
      <c r="J8" s="24"/>
      <c r="K8" s="24"/>
    </row>
    <row r="9" spans="1:38" ht="13.5" customHeight="1">
      <c r="C9" s="24"/>
      <c r="D9" s="169" t="str">
        <f>SF_Data!N5&amp;"　号室"</f>
        <v>　号室</v>
      </c>
      <c r="E9" s="169"/>
      <c r="F9" s="169"/>
      <c r="G9" s="169"/>
      <c r="H9" s="22"/>
      <c r="I9" s="22"/>
      <c r="J9" s="22"/>
      <c r="K9" s="22"/>
      <c r="L9" s="23"/>
      <c r="R9" s="122" t="s">
        <v>196</v>
      </c>
      <c r="S9" s="122"/>
      <c r="T9" s="122"/>
      <c r="U9" s="122"/>
      <c r="V9" s="122"/>
      <c r="W9" s="122"/>
      <c r="X9" s="122"/>
      <c r="Y9" s="122"/>
      <c r="Z9" s="122"/>
      <c r="AA9" s="122"/>
      <c r="AB9" s="122"/>
      <c r="AC9" s="122"/>
      <c r="AD9" s="122"/>
      <c r="AE9" s="122"/>
      <c r="AF9" s="122"/>
      <c r="AG9" s="122"/>
    </row>
    <row r="10" spans="1:38" ht="6.75" customHeight="1">
      <c r="C10" s="24"/>
      <c r="D10" s="169" t="str">
        <f>SF_Data!A5&amp;"　様"</f>
        <v>　様</v>
      </c>
      <c r="E10" s="169"/>
      <c r="F10" s="169"/>
      <c r="G10" s="169"/>
      <c r="H10" s="169"/>
      <c r="I10" s="24"/>
      <c r="J10" s="24"/>
      <c r="K10" s="24"/>
      <c r="L10" s="23"/>
    </row>
    <row r="11" spans="1:38" ht="6" customHeight="1">
      <c r="C11" s="24"/>
      <c r="D11" s="169"/>
      <c r="E11" s="169"/>
      <c r="F11" s="169"/>
      <c r="G11" s="169"/>
      <c r="H11" s="169"/>
      <c r="I11" s="24"/>
      <c r="J11" s="24"/>
      <c r="K11" s="24"/>
      <c r="L11" s="23"/>
      <c r="R11" s="75" t="s">
        <v>191</v>
      </c>
      <c r="S11" s="75"/>
      <c r="T11" s="75"/>
      <c r="U11" s="75"/>
      <c r="V11" s="75"/>
      <c r="W11" s="75"/>
      <c r="X11" s="75"/>
      <c r="Y11" s="75"/>
      <c r="Z11" s="75"/>
      <c r="AA11" s="75"/>
      <c r="AB11" s="75"/>
      <c r="AC11" s="75"/>
      <c r="AD11" s="75"/>
      <c r="AE11" s="75"/>
      <c r="AF11" s="75"/>
      <c r="AG11" s="75"/>
    </row>
    <row r="12" spans="1:38" ht="9" customHeight="1">
      <c r="R12" s="75"/>
      <c r="S12" s="75"/>
      <c r="T12" s="75"/>
      <c r="U12" s="75"/>
      <c r="V12" s="75"/>
      <c r="W12" s="75"/>
      <c r="X12" s="75"/>
      <c r="Y12" s="75"/>
      <c r="Z12" s="75"/>
      <c r="AA12" s="75"/>
      <c r="AB12" s="75"/>
      <c r="AC12" s="75"/>
      <c r="AD12" s="75"/>
      <c r="AE12" s="75"/>
      <c r="AF12" s="75"/>
      <c r="AG12" s="75"/>
    </row>
    <row r="13" spans="1:38" ht="13.5" customHeight="1">
      <c r="C13" s="180" t="s">
        <v>195</v>
      </c>
      <c r="D13" s="181"/>
      <c r="E13" s="181"/>
      <c r="F13" s="181"/>
      <c r="G13" s="181"/>
      <c r="H13" s="182"/>
      <c r="I13" s="25"/>
      <c r="J13" s="26"/>
      <c r="K13" s="26"/>
      <c r="L13" s="26"/>
      <c r="R13" s="75" t="s">
        <v>192</v>
      </c>
      <c r="S13" s="75"/>
      <c r="T13" s="75"/>
      <c r="U13" s="75"/>
      <c r="V13" s="75"/>
      <c r="W13" s="75"/>
      <c r="X13" s="75"/>
      <c r="Y13" s="75"/>
      <c r="Z13" s="75"/>
      <c r="AA13" s="75"/>
      <c r="AB13" s="75"/>
      <c r="AC13" s="75"/>
      <c r="AD13" s="75"/>
      <c r="AE13" s="75"/>
      <c r="AF13" s="75"/>
      <c r="AG13" s="75"/>
    </row>
    <row r="14" spans="1:38" ht="11.25" customHeight="1">
      <c r="R14" s="170" t="s">
        <v>198</v>
      </c>
      <c r="S14" s="170"/>
      <c r="T14" s="170"/>
      <c r="U14" s="170"/>
      <c r="V14" s="170"/>
      <c r="W14" s="170"/>
      <c r="X14" s="170"/>
      <c r="Y14" s="170"/>
      <c r="Z14" s="170"/>
      <c r="AA14" s="170"/>
      <c r="AB14" s="170"/>
      <c r="AC14" s="170"/>
      <c r="AD14" s="170"/>
      <c r="AE14" s="170"/>
      <c r="AF14" s="170"/>
      <c r="AG14" s="170"/>
      <c r="AJ14" s="28" t="s">
        <v>179</v>
      </c>
    </row>
    <row r="15" spans="1:38" ht="39" customHeight="1">
      <c r="AJ15" s="29">
        <f>SF_Data!W5</f>
        <v>0</v>
      </c>
      <c r="AK15" s="30"/>
      <c r="AL15" s="30"/>
    </row>
    <row r="16" spans="1:38" ht="36.75" customHeight="1">
      <c r="A16" s="172" t="s">
        <v>202</v>
      </c>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row>
    <row r="17" spans="1:37" ht="13.2" customHeight="1">
      <c r="A17" s="166"/>
      <c r="B17" s="166"/>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row>
    <row r="18" spans="1:37" ht="9" customHeight="1"/>
    <row r="19" spans="1:37" ht="20.25" customHeight="1">
      <c r="C19" s="122" t="s">
        <v>23</v>
      </c>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K19" s="1"/>
    </row>
    <row r="20" spans="1:37" ht="20.25" customHeight="1">
      <c r="C20" s="122" t="s">
        <v>24</v>
      </c>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K20" s="2"/>
    </row>
    <row r="21" spans="1:37" ht="10.199999999999999" customHeight="1">
      <c r="AK21" s="2"/>
    </row>
    <row r="22" spans="1:37" ht="20.25" customHeight="1">
      <c r="E22" s="179" t="s">
        <v>25</v>
      </c>
      <c r="F22" s="179"/>
      <c r="G22" s="179"/>
      <c r="H22" s="179"/>
      <c r="I22" s="179"/>
      <c r="J22" s="179"/>
      <c r="K22" s="179"/>
      <c r="L22" s="179"/>
      <c r="M22" s="179"/>
      <c r="N22" s="179"/>
      <c r="O22" s="179"/>
      <c r="P22" s="179"/>
      <c r="Q22" s="179"/>
      <c r="R22" s="179"/>
      <c r="S22" s="179"/>
      <c r="T22" s="179"/>
      <c r="U22" s="179"/>
      <c r="V22" s="179"/>
      <c r="W22" s="179"/>
      <c r="X22" s="179"/>
      <c r="Y22" s="179"/>
      <c r="Z22" s="179"/>
      <c r="AA22" s="179"/>
    </row>
    <row r="23" spans="1:37" ht="11.25" customHeight="1">
      <c r="E23" s="179" t="s">
        <v>26</v>
      </c>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row>
    <row r="24" spans="1:37" ht="20.25" customHeight="1"/>
    <row r="25" spans="1:37" ht="27" customHeight="1">
      <c r="B25" s="129" t="s">
        <v>27</v>
      </c>
      <c r="C25" s="129"/>
      <c r="D25" s="129"/>
      <c r="E25" s="129"/>
      <c r="F25" s="129"/>
      <c r="G25" s="129"/>
      <c r="H25" s="129"/>
      <c r="I25" s="129"/>
      <c r="J25" s="129"/>
      <c r="K25" s="165" t="str">
        <f>SF_Data!A5&amp; "　様"</f>
        <v>　様</v>
      </c>
      <c r="L25" s="165"/>
      <c r="M25" s="165"/>
      <c r="N25" s="165"/>
      <c r="O25" s="165"/>
      <c r="P25" s="165"/>
      <c r="Q25" s="165"/>
      <c r="R25" s="165"/>
      <c r="S25" s="165"/>
      <c r="T25" s="165"/>
      <c r="U25" s="165"/>
      <c r="V25" s="165"/>
      <c r="W25" s="165"/>
      <c r="X25" s="165"/>
      <c r="Y25" s="165"/>
      <c r="Z25" s="165"/>
      <c r="AA25" s="165"/>
      <c r="AB25" s="165"/>
      <c r="AC25" s="165"/>
      <c r="AD25" s="165"/>
    </row>
    <row r="26" spans="1:37" ht="27" customHeight="1">
      <c r="B26" s="129" t="s">
        <v>22</v>
      </c>
      <c r="C26" s="129"/>
      <c r="D26" s="129"/>
      <c r="E26" s="129"/>
      <c r="F26" s="129"/>
      <c r="G26" s="129"/>
      <c r="H26" s="129"/>
      <c r="I26" s="129"/>
      <c r="J26" s="129"/>
      <c r="K26" s="165">
        <f>SF_Data!K5</f>
        <v>0</v>
      </c>
      <c r="L26" s="165"/>
      <c r="M26" s="165"/>
      <c r="N26" s="165"/>
      <c r="O26" s="165"/>
      <c r="P26" s="165"/>
      <c r="Q26" s="165"/>
      <c r="R26" s="165"/>
      <c r="S26" s="165"/>
      <c r="T26" s="165"/>
      <c r="U26" s="165"/>
      <c r="V26" s="165"/>
      <c r="W26" s="165"/>
      <c r="X26" s="165"/>
      <c r="Y26" s="165"/>
      <c r="Z26" s="165"/>
      <c r="AA26" s="165"/>
      <c r="AB26" s="165"/>
      <c r="AC26" s="165"/>
      <c r="AD26" s="165"/>
      <c r="AJ26" s="37"/>
    </row>
    <row r="27" spans="1:37" ht="27" customHeight="1">
      <c r="B27" s="129" t="s">
        <v>28</v>
      </c>
      <c r="C27" s="129"/>
      <c r="D27" s="129"/>
      <c r="E27" s="129"/>
      <c r="F27" s="129"/>
      <c r="G27" s="129"/>
      <c r="H27" s="129"/>
      <c r="I27" s="129"/>
      <c r="J27" s="129"/>
      <c r="K27" s="173" t="str">
        <f>SF_Data!N5&amp;"　号室"</f>
        <v>　号室</v>
      </c>
      <c r="L27" s="174"/>
      <c r="M27" s="174"/>
      <c r="N27" s="174"/>
      <c r="O27" s="174"/>
      <c r="P27" s="174"/>
      <c r="Q27" s="174"/>
      <c r="R27" s="174"/>
      <c r="S27" s="174"/>
      <c r="T27" s="174"/>
      <c r="U27" s="174"/>
      <c r="V27" s="174"/>
      <c r="W27" s="174"/>
      <c r="X27" s="174"/>
      <c r="Y27" s="174"/>
      <c r="Z27" s="174"/>
      <c r="AA27" s="174"/>
      <c r="AB27" s="174"/>
      <c r="AC27" s="174"/>
      <c r="AD27" s="175"/>
    </row>
    <row r="28" spans="1:37" ht="27" customHeight="1">
      <c r="B28" s="129" t="s">
        <v>29</v>
      </c>
      <c r="C28" s="129"/>
      <c r="D28" s="129"/>
      <c r="E28" s="129"/>
      <c r="F28" s="129"/>
      <c r="G28" s="129"/>
      <c r="H28" s="129"/>
      <c r="I28" s="129"/>
      <c r="J28" s="129"/>
      <c r="K28" s="173">
        <f>SF_Data!M5</f>
        <v>0</v>
      </c>
      <c r="L28" s="174"/>
      <c r="M28" s="174"/>
      <c r="N28" s="174"/>
      <c r="O28" s="174"/>
      <c r="P28" s="174"/>
      <c r="Q28" s="174"/>
      <c r="R28" s="174"/>
      <c r="S28" s="174"/>
      <c r="T28" s="174"/>
      <c r="U28" s="174"/>
      <c r="V28" s="174"/>
      <c r="W28" s="174"/>
      <c r="X28" s="174"/>
      <c r="Y28" s="174"/>
      <c r="Z28" s="174"/>
      <c r="AA28" s="174"/>
      <c r="AB28" s="174"/>
      <c r="AC28" s="174"/>
      <c r="AD28" s="175"/>
    </row>
    <row r="29" spans="1:37" ht="20.25" customHeight="1">
      <c r="B29" s="129" t="s">
        <v>30</v>
      </c>
      <c r="C29" s="129"/>
      <c r="D29" s="129"/>
      <c r="E29" s="129"/>
      <c r="F29" s="129"/>
      <c r="G29" s="129"/>
      <c r="H29" s="129"/>
      <c r="I29" s="129"/>
      <c r="J29" s="129"/>
      <c r="K29" s="176" t="s">
        <v>31</v>
      </c>
      <c r="L29" s="176"/>
      <c r="M29" s="176"/>
      <c r="N29" s="176"/>
      <c r="O29" s="176"/>
      <c r="P29" s="176"/>
      <c r="Q29" s="176"/>
      <c r="R29" s="176"/>
      <c r="S29" s="176" t="s">
        <v>32</v>
      </c>
      <c r="T29" s="176"/>
      <c r="U29" s="176"/>
      <c r="V29" s="176"/>
      <c r="W29" s="176"/>
      <c r="X29" s="176"/>
      <c r="Y29" s="176"/>
      <c r="Z29" s="176"/>
      <c r="AA29" s="176"/>
      <c r="AB29" s="176"/>
      <c r="AC29" s="176"/>
      <c r="AD29" s="176"/>
    </row>
    <row r="30" spans="1:37" ht="20.25" customHeight="1">
      <c r="B30" s="129"/>
      <c r="C30" s="129"/>
      <c r="D30" s="129"/>
      <c r="E30" s="129"/>
      <c r="F30" s="129"/>
      <c r="G30" s="129"/>
      <c r="H30" s="129"/>
      <c r="I30" s="129"/>
      <c r="J30" s="129"/>
      <c r="K30" s="165">
        <f>SF_Data!B5</f>
        <v>0</v>
      </c>
      <c r="L30" s="165"/>
      <c r="M30" s="165"/>
      <c r="N30" s="165"/>
      <c r="O30" s="165"/>
      <c r="P30" s="165"/>
      <c r="Q30" s="165"/>
      <c r="R30" s="165"/>
      <c r="S30" s="165">
        <f>SF_Data!C5</f>
        <v>0</v>
      </c>
      <c r="T30" s="165"/>
      <c r="U30" s="165"/>
      <c r="V30" s="165"/>
      <c r="W30" s="165"/>
      <c r="X30" s="165"/>
      <c r="Y30" s="165"/>
      <c r="Z30" s="165"/>
      <c r="AA30" s="165"/>
      <c r="AB30" s="165"/>
      <c r="AC30" s="165"/>
      <c r="AD30" s="165"/>
    </row>
    <row r="31" spans="1:37" ht="13.5" customHeight="1">
      <c r="B31" s="129" t="s">
        <v>33</v>
      </c>
      <c r="C31" s="129"/>
      <c r="D31" s="129"/>
      <c r="E31" s="129"/>
      <c r="F31" s="129"/>
      <c r="G31" s="129"/>
      <c r="H31" s="129"/>
      <c r="I31" s="129"/>
      <c r="J31" s="129"/>
      <c r="K31" s="152" t="str">
        <f>IF(K33="","",VLOOKUP(K33,カナ!A:B,2))</f>
        <v/>
      </c>
      <c r="L31" s="153"/>
      <c r="M31" s="154"/>
      <c r="N31" s="152" t="str">
        <f>IF(N33="","",VLOOKUP(N33,カナ!A:B,2))</f>
        <v/>
      </c>
      <c r="O31" s="154"/>
      <c r="P31" s="152" t="str">
        <f>IF(P33="","",VLOOKUP(P33,カナ!A:B,2))</f>
        <v/>
      </c>
      <c r="Q31" s="154"/>
      <c r="R31" s="20" t="str">
        <f>IF(R33="","",VLOOKUP(R33,カナ!A:B,2))</f>
        <v/>
      </c>
      <c r="S31" s="152" t="str">
        <f>IF(S33="","",VLOOKUP(S33,カナ!A:B,2))</f>
        <v/>
      </c>
      <c r="T31" s="154"/>
      <c r="U31" s="152" t="str">
        <f>IF(U33="","",VLOOKUP(U33,カナ!A:B,2))</f>
        <v/>
      </c>
      <c r="V31" s="153"/>
      <c r="W31" s="154"/>
      <c r="X31" s="152" t="str">
        <f>IF(X33="","",VLOOKUP(X33,カナ!A:B,2))</f>
        <v/>
      </c>
      <c r="Y31" s="153"/>
      <c r="Z31" s="154"/>
      <c r="AA31" s="177" t="str">
        <f>IF(AA33="","",VLOOKUP(AA33,カナ!A:B,2))</f>
        <v/>
      </c>
      <c r="AB31" s="177"/>
      <c r="AC31" s="177"/>
      <c r="AD31" s="178"/>
      <c r="AI31" s="4"/>
    </row>
    <row r="32" spans="1:37" ht="6.75" customHeight="1">
      <c r="B32" s="129"/>
      <c r="C32" s="129"/>
      <c r="D32" s="129"/>
      <c r="E32" s="129"/>
      <c r="F32" s="129"/>
      <c r="G32" s="129"/>
      <c r="H32" s="129"/>
      <c r="I32" s="129"/>
      <c r="J32" s="129"/>
      <c r="K32" s="14"/>
      <c r="M32" s="15"/>
      <c r="N32" s="14"/>
      <c r="O32" s="15"/>
      <c r="P32" s="14"/>
      <c r="Q32" s="15"/>
      <c r="R32" s="15"/>
      <c r="S32" s="14"/>
      <c r="T32" s="15"/>
      <c r="U32" s="14"/>
      <c r="W32" s="15"/>
      <c r="X32" s="14"/>
      <c r="Z32" s="15"/>
      <c r="AD32" s="15"/>
    </row>
    <row r="33" spans="2:36" ht="20.25" customHeight="1">
      <c r="B33" s="171"/>
      <c r="C33" s="171"/>
      <c r="D33" s="171"/>
      <c r="E33" s="171"/>
      <c r="F33" s="171"/>
      <c r="G33" s="171"/>
      <c r="H33" s="171"/>
      <c r="I33" s="171"/>
      <c r="J33" s="171"/>
      <c r="K33" s="147" t="str">
        <f>MID(SF_Data!H5,1,1)</f>
        <v/>
      </c>
      <c r="L33" s="131"/>
      <c r="M33" s="148"/>
      <c r="N33" s="147" t="str">
        <f>MID(SF_Data!H5,2,1)</f>
        <v/>
      </c>
      <c r="O33" s="148"/>
      <c r="P33" s="147" t="str">
        <f>MID(SF_Data!H5,3,1)</f>
        <v/>
      </c>
      <c r="Q33" s="148"/>
      <c r="R33" s="21" t="str">
        <f>MID(SF_Data!H5,4,1)</f>
        <v/>
      </c>
      <c r="S33" s="147" t="str">
        <f>MID(SF_Data!H5,5,1)</f>
        <v/>
      </c>
      <c r="T33" s="148"/>
      <c r="U33" s="147" t="str">
        <f>MID(SF_Data!H5,6,1)</f>
        <v/>
      </c>
      <c r="V33" s="131"/>
      <c r="W33" s="148"/>
      <c r="X33" s="147" t="str">
        <f>MID(SF_Data!H5,7,1)</f>
        <v/>
      </c>
      <c r="Y33" s="131"/>
      <c r="Z33" s="148"/>
      <c r="AA33" s="131" t="str">
        <f>MID(SF_Data!H5,8,1)</f>
        <v/>
      </c>
      <c r="AB33" s="131"/>
      <c r="AC33" s="131"/>
      <c r="AD33" s="148"/>
      <c r="AJ33" s="1"/>
    </row>
    <row r="34" spans="2:36" ht="13.2" customHeight="1">
      <c r="B34" s="155" t="s">
        <v>40</v>
      </c>
      <c r="C34" s="156"/>
      <c r="D34" s="156"/>
      <c r="E34" s="156"/>
      <c r="F34" s="156"/>
      <c r="G34" s="156"/>
      <c r="H34" s="156"/>
      <c r="I34" s="156"/>
      <c r="J34" s="157"/>
      <c r="K34" s="152" t="str">
        <f>IF(K36="","",VLOOKUP(K36,カナ!A:B,2))</f>
        <v/>
      </c>
      <c r="L34" s="153"/>
      <c r="M34" s="154"/>
      <c r="N34" s="152" t="str">
        <f>IF(N36="","",VLOOKUP(N36,カナ!A:B,2))</f>
        <v/>
      </c>
      <c r="O34" s="154"/>
      <c r="P34" s="152" t="str">
        <f>IF(P36="","",VLOOKUP(P36,カナ!A:B,2))</f>
        <v/>
      </c>
      <c r="Q34" s="154"/>
      <c r="R34" s="20" t="str">
        <f>IF(R36="","",VLOOKUP(R36,カナ!A:B,2))</f>
        <v/>
      </c>
      <c r="S34" s="152" t="str">
        <f>IF(S36="","",VLOOKUP(S36,カナ!A:B,2))</f>
        <v/>
      </c>
      <c r="T34" s="154"/>
      <c r="U34" s="152" t="str">
        <f>IF(U36="","",VLOOKUP(U36,カナ!A:B,2))</f>
        <v/>
      </c>
      <c r="V34" s="153"/>
      <c r="W34" s="154"/>
      <c r="X34" s="152" t="str">
        <f>IF(X36="","",VLOOKUP(X36,カナ!A:B,2))</f>
        <v/>
      </c>
      <c r="Y34" s="153"/>
      <c r="Z34" s="154"/>
      <c r="AA34" s="153" t="str">
        <f>IF(AA36="","",VLOOKUP(AA36,カナ!A:B,2))</f>
        <v/>
      </c>
      <c r="AB34" s="153"/>
      <c r="AC34" s="153"/>
      <c r="AD34" s="154"/>
    </row>
    <row r="35" spans="2:36" ht="6.75" customHeight="1">
      <c r="B35" s="96"/>
      <c r="C35" s="97"/>
      <c r="D35" s="97"/>
      <c r="E35" s="97"/>
      <c r="F35" s="97"/>
      <c r="G35" s="97"/>
      <c r="H35" s="97"/>
      <c r="I35" s="97"/>
      <c r="J35" s="98"/>
      <c r="K35" s="14"/>
      <c r="L35" s="1"/>
      <c r="M35" s="15"/>
      <c r="N35" s="14"/>
      <c r="O35" s="15"/>
      <c r="P35" s="14"/>
      <c r="Q35" s="15"/>
      <c r="R35" s="15"/>
      <c r="S35" s="14"/>
      <c r="T35" s="15"/>
      <c r="U35" s="14"/>
      <c r="W35" s="15"/>
      <c r="X35" s="14"/>
      <c r="Z35" s="15"/>
      <c r="AD35" s="15"/>
    </row>
    <row r="36" spans="2:36" ht="13.5" customHeight="1">
      <c r="B36" s="96"/>
      <c r="C36" s="97"/>
      <c r="D36" s="97"/>
      <c r="E36" s="97"/>
      <c r="F36" s="97"/>
      <c r="G36" s="97"/>
      <c r="H36" s="97"/>
      <c r="I36" s="97"/>
      <c r="J36" s="98"/>
      <c r="K36" s="147" t="str">
        <f>MID(SF_Data!I5,1,1)</f>
        <v/>
      </c>
      <c r="L36" s="131"/>
      <c r="M36" s="148"/>
      <c r="N36" s="147" t="str">
        <f>MID(SF_Data!I5,2,1)</f>
        <v/>
      </c>
      <c r="O36" s="148"/>
      <c r="P36" s="147" t="str">
        <f>MID(SF_Data!I5,3,1)</f>
        <v/>
      </c>
      <c r="Q36" s="148"/>
      <c r="R36" s="148" t="str">
        <f>MID(SF_Data!I5,4,1)</f>
        <v/>
      </c>
      <c r="S36" s="147" t="str">
        <f>MID(SF_Data!I5,5,1)</f>
        <v/>
      </c>
      <c r="T36" s="148"/>
      <c r="U36" s="147" t="str">
        <f>MID(SF_Data!I5,6,1)</f>
        <v/>
      </c>
      <c r="V36" s="131"/>
      <c r="W36" s="148"/>
      <c r="X36" s="147" t="str">
        <f>MID(SF_Data!I5,7,1)</f>
        <v/>
      </c>
      <c r="Y36" s="131"/>
      <c r="Z36" s="148"/>
      <c r="AA36" s="131" t="str">
        <f>MID(SF_Data!I5,8,1)</f>
        <v/>
      </c>
      <c r="AB36" s="131"/>
      <c r="AC36" s="131"/>
      <c r="AD36" s="148"/>
      <c r="AJ36" s="2"/>
    </row>
    <row r="37" spans="2:36" ht="6.75" customHeight="1">
      <c r="B37" s="99"/>
      <c r="C37" s="100"/>
      <c r="D37" s="100"/>
      <c r="E37" s="100"/>
      <c r="F37" s="100"/>
      <c r="G37" s="100"/>
      <c r="H37" s="100"/>
      <c r="I37" s="100"/>
      <c r="J37" s="101"/>
      <c r="K37" s="149"/>
      <c r="L37" s="150"/>
      <c r="M37" s="151"/>
      <c r="N37" s="149"/>
      <c r="O37" s="151"/>
      <c r="P37" s="149"/>
      <c r="Q37" s="151"/>
      <c r="R37" s="151"/>
      <c r="S37" s="149"/>
      <c r="T37" s="151"/>
      <c r="U37" s="149"/>
      <c r="V37" s="150"/>
      <c r="W37" s="151"/>
      <c r="X37" s="149"/>
      <c r="Y37" s="150"/>
      <c r="Z37" s="151"/>
      <c r="AA37" s="150"/>
      <c r="AB37" s="150"/>
      <c r="AC37" s="150"/>
      <c r="AD37" s="151"/>
    </row>
    <row r="38" spans="2:36" ht="6.75" customHeight="1">
      <c r="B38" s="158"/>
      <c r="C38" s="158"/>
      <c r="D38" s="158"/>
      <c r="E38" s="158"/>
      <c r="F38" s="158"/>
      <c r="G38" s="158"/>
      <c r="H38" s="158"/>
      <c r="I38" s="158"/>
      <c r="J38" s="158"/>
      <c r="K38" s="159"/>
      <c r="L38" s="159"/>
      <c r="M38" s="159"/>
      <c r="N38" s="159"/>
      <c r="O38" s="159"/>
      <c r="P38" s="159"/>
      <c r="Q38" s="159"/>
      <c r="R38" s="159"/>
      <c r="S38" s="159"/>
      <c r="T38" s="159"/>
      <c r="U38" s="159"/>
      <c r="V38" s="159"/>
      <c r="W38" s="159"/>
      <c r="X38" s="159"/>
      <c r="Y38" s="159"/>
      <c r="Z38" s="159"/>
      <c r="AA38" s="159"/>
      <c r="AB38" s="159"/>
      <c r="AC38" s="159"/>
      <c r="AD38" s="159"/>
    </row>
    <row r="39" spans="2:36" ht="20.25" customHeight="1">
      <c r="B39" s="110"/>
      <c r="C39" s="110"/>
      <c r="D39" s="110"/>
      <c r="E39" s="110"/>
      <c r="F39" s="110"/>
      <c r="G39" s="110"/>
      <c r="H39" s="110"/>
      <c r="I39" s="110"/>
      <c r="J39" s="110"/>
      <c r="K39" s="131"/>
      <c r="L39" s="131"/>
      <c r="M39" s="131"/>
      <c r="N39" s="131"/>
      <c r="O39" s="131"/>
      <c r="P39" s="131"/>
      <c r="Q39" s="131"/>
      <c r="R39" s="131"/>
      <c r="S39" s="131"/>
      <c r="T39" s="131"/>
      <c r="U39" s="131"/>
      <c r="V39" s="131"/>
      <c r="W39" s="131"/>
      <c r="X39" s="131"/>
      <c r="Y39" s="131"/>
      <c r="Z39" s="131"/>
      <c r="AA39" s="131"/>
      <c r="AB39" s="131"/>
      <c r="AC39" s="131"/>
      <c r="AD39" s="131"/>
      <c r="AI39" s="3"/>
    </row>
    <row r="40" spans="2:36" ht="12" customHeight="1"/>
    <row r="41" spans="2:36" ht="20.25" customHeight="1">
      <c r="D41" s="66" t="s">
        <v>42</v>
      </c>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row>
    <row r="42" spans="2:36" ht="27" customHeight="1">
      <c r="B42" s="129" t="s">
        <v>43</v>
      </c>
      <c r="C42" s="129"/>
      <c r="D42" s="129"/>
      <c r="E42" s="129"/>
      <c r="F42" s="129"/>
      <c r="G42" s="129"/>
      <c r="H42" s="129"/>
      <c r="I42" s="129"/>
      <c r="J42" s="129"/>
      <c r="K42" s="130">
        <f>SF_Data!D5</f>
        <v>0</v>
      </c>
      <c r="L42" s="130"/>
      <c r="M42" s="130"/>
      <c r="N42" s="130"/>
      <c r="O42" s="130"/>
      <c r="P42" s="130"/>
      <c r="Q42" s="130"/>
      <c r="R42" s="130"/>
      <c r="S42" s="130"/>
      <c r="T42" s="130"/>
      <c r="U42" s="130"/>
      <c r="V42" s="130"/>
      <c r="W42" s="130"/>
      <c r="X42" s="130"/>
      <c r="Y42" s="130"/>
      <c r="Z42" s="130"/>
      <c r="AA42" s="130"/>
      <c r="AB42" s="130"/>
      <c r="AC42" s="130"/>
      <c r="AD42" s="130"/>
    </row>
    <row r="43" spans="2:36" ht="27" customHeight="1">
      <c r="B43" s="129" t="s">
        <v>44</v>
      </c>
      <c r="C43" s="129"/>
      <c r="D43" s="129"/>
      <c r="E43" s="129"/>
      <c r="F43" s="129"/>
      <c r="G43" s="129"/>
      <c r="H43" s="129"/>
      <c r="I43" s="129"/>
      <c r="J43" s="129"/>
      <c r="K43" s="130" t="s">
        <v>45</v>
      </c>
      <c r="L43" s="130"/>
      <c r="M43" s="130"/>
      <c r="N43" s="130"/>
      <c r="O43" s="130"/>
      <c r="P43" s="130"/>
      <c r="Q43" s="130"/>
      <c r="R43" s="130"/>
      <c r="S43" s="130"/>
      <c r="T43" s="130"/>
      <c r="U43" s="130"/>
      <c r="V43" s="130"/>
      <c r="W43" s="130"/>
      <c r="X43" s="130"/>
      <c r="Y43" s="130"/>
      <c r="Z43" s="130"/>
      <c r="AA43" s="130"/>
      <c r="AB43" s="130"/>
      <c r="AC43" s="130"/>
      <c r="AD43" s="130"/>
    </row>
    <row r="44" spans="2:36" ht="6.75" customHeight="1">
      <c r="B44" s="132" t="s">
        <v>250</v>
      </c>
      <c r="C44" s="133"/>
      <c r="D44" s="133"/>
      <c r="E44" s="133"/>
      <c r="F44" s="133"/>
      <c r="G44" s="133"/>
      <c r="H44" s="133"/>
      <c r="I44" s="133"/>
      <c r="J44" s="134"/>
      <c r="K44" s="135" t="s">
        <v>256</v>
      </c>
      <c r="L44" s="136"/>
      <c r="M44" s="136"/>
      <c r="N44" s="136"/>
      <c r="O44" s="136"/>
      <c r="P44" s="136"/>
      <c r="Q44" s="136"/>
      <c r="R44" s="136"/>
      <c r="S44" s="137"/>
      <c r="T44" s="138" t="s">
        <v>253</v>
      </c>
      <c r="U44" s="139"/>
      <c r="V44" s="139"/>
      <c r="W44" s="139"/>
      <c r="X44" s="139"/>
      <c r="Y44" s="139"/>
      <c r="Z44" s="139"/>
      <c r="AA44" s="139"/>
      <c r="AB44" s="139"/>
      <c r="AC44" s="139"/>
      <c r="AD44" s="140"/>
    </row>
    <row r="45" spans="2:36" ht="20.25" customHeight="1">
      <c r="B45" s="132"/>
      <c r="C45" s="133"/>
      <c r="D45" s="133"/>
      <c r="E45" s="133"/>
      <c r="F45" s="133"/>
      <c r="G45" s="133"/>
      <c r="H45" s="133"/>
      <c r="I45" s="133"/>
      <c r="J45" s="134"/>
      <c r="K45" s="135"/>
      <c r="L45" s="136"/>
      <c r="M45" s="136"/>
      <c r="N45" s="136"/>
      <c r="O45" s="136"/>
      <c r="P45" s="136"/>
      <c r="Q45" s="136"/>
      <c r="R45" s="136"/>
      <c r="S45" s="137"/>
      <c r="T45" s="141"/>
      <c r="U45" s="142"/>
      <c r="V45" s="142"/>
      <c r="W45" s="142"/>
      <c r="X45" s="142"/>
      <c r="Y45" s="142"/>
      <c r="Z45" s="142"/>
      <c r="AA45" s="142"/>
      <c r="AB45" s="142"/>
      <c r="AC45" s="142"/>
      <c r="AD45" s="143"/>
    </row>
    <row r="46" spans="2:36" ht="6.75" customHeight="1">
      <c r="B46" s="132" t="s">
        <v>251</v>
      </c>
      <c r="C46" s="133"/>
      <c r="D46" s="133"/>
      <c r="E46" s="133"/>
      <c r="F46" s="133"/>
      <c r="G46" s="133"/>
      <c r="H46" s="133"/>
      <c r="I46" s="133"/>
      <c r="J46" s="134"/>
      <c r="K46" s="135" t="s">
        <v>257</v>
      </c>
      <c r="L46" s="136"/>
      <c r="M46" s="136"/>
      <c r="N46" s="136"/>
      <c r="O46" s="136"/>
      <c r="P46" s="136"/>
      <c r="Q46" s="136"/>
      <c r="R46" s="136"/>
      <c r="S46" s="137"/>
      <c r="T46" s="138" t="s">
        <v>254</v>
      </c>
      <c r="U46" s="139"/>
      <c r="V46" s="139"/>
      <c r="W46" s="139"/>
      <c r="X46" s="139"/>
      <c r="Y46" s="139"/>
      <c r="Z46" s="139"/>
      <c r="AA46" s="139"/>
      <c r="AB46" s="139"/>
      <c r="AC46" s="139"/>
      <c r="AD46" s="140"/>
    </row>
    <row r="47" spans="2:36" ht="20.25" customHeight="1">
      <c r="B47" s="132"/>
      <c r="C47" s="133"/>
      <c r="D47" s="133"/>
      <c r="E47" s="133"/>
      <c r="F47" s="133"/>
      <c r="G47" s="133"/>
      <c r="H47" s="133"/>
      <c r="I47" s="133"/>
      <c r="J47" s="134"/>
      <c r="K47" s="135"/>
      <c r="L47" s="136"/>
      <c r="M47" s="136"/>
      <c r="N47" s="136"/>
      <c r="O47" s="136"/>
      <c r="P47" s="136"/>
      <c r="Q47" s="136"/>
      <c r="R47" s="136"/>
      <c r="S47" s="137"/>
      <c r="T47" s="141"/>
      <c r="U47" s="142"/>
      <c r="V47" s="142"/>
      <c r="W47" s="142"/>
      <c r="X47" s="142"/>
      <c r="Y47" s="142"/>
      <c r="Z47" s="142"/>
      <c r="AA47" s="142"/>
      <c r="AB47" s="142"/>
      <c r="AC47" s="142"/>
      <c r="AD47" s="143"/>
    </row>
    <row r="48" spans="2:36" ht="6.75" customHeight="1">
      <c r="B48" s="132" t="s">
        <v>46</v>
      </c>
      <c r="C48" s="133"/>
      <c r="D48" s="133"/>
      <c r="E48" s="133"/>
      <c r="F48" s="133"/>
      <c r="G48" s="133"/>
      <c r="H48" s="133"/>
      <c r="I48" s="133"/>
      <c r="J48" s="134"/>
      <c r="K48" s="135" t="s">
        <v>258</v>
      </c>
      <c r="L48" s="136"/>
      <c r="M48" s="136"/>
      <c r="N48" s="136"/>
      <c r="O48" s="136"/>
      <c r="P48" s="136"/>
      <c r="Q48" s="136"/>
      <c r="R48" s="136"/>
      <c r="S48" s="137"/>
      <c r="T48" s="138" t="s">
        <v>255</v>
      </c>
      <c r="U48" s="139"/>
      <c r="V48" s="139"/>
      <c r="W48" s="139"/>
      <c r="X48" s="139"/>
      <c r="Y48" s="139"/>
      <c r="Z48" s="139"/>
      <c r="AA48" s="139"/>
      <c r="AB48" s="139"/>
      <c r="AC48" s="139"/>
      <c r="AD48" s="140"/>
    </row>
    <row r="49" spans="2:30" ht="20.25" customHeight="1">
      <c r="B49" s="132"/>
      <c r="C49" s="133"/>
      <c r="D49" s="133"/>
      <c r="E49" s="133"/>
      <c r="F49" s="133"/>
      <c r="G49" s="133"/>
      <c r="H49" s="133"/>
      <c r="I49" s="133"/>
      <c r="J49" s="134"/>
      <c r="K49" s="135"/>
      <c r="L49" s="136"/>
      <c r="M49" s="136"/>
      <c r="N49" s="136"/>
      <c r="O49" s="136"/>
      <c r="P49" s="136"/>
      <c r="Q49" s="136"/>
      <c r="R49" s="136"/>
      <c r="S49" s="137"/>
      <c r="T49" s="141"/>
      <c r="U49" s="142"/>
      <c r="V49" s="142"/>
      <c r="W49" s="142"/>
      <c r="X49" s="142"/>
      <c r="Y49" s="142"/>
      <c r="Z49" s="142"/>
      <c r="AA49" s="142"/>
      <c r="AB49" s="142"/>
      <c r="AC49" s="142"/>
      <c r="AD49" s="143"/>
    </row>
    <row r="50" spans="2:30" ht="27" customHeight="1">
      <c r="B50" s="96" t="s">
        <v>47</v>
      </c>
      <c r="C50" s="97"/>
      <c r="D50" s="97"/>
      <c r="E50" s="97"/>
      <c r="F50" s="97"/>
      <c r="G50" s="97"/>
      <c r="H50" s="97"/>
      <c r="I50" s="97"/>
      <c r="J50" s="98"/>
      <c r="K50" s="144" t="s">
        <v>259</v>
      </c>
      <c r="L50" s="145"/>
      <c r="M50" s="145"/>
      <c r="N50" s="145"/>
      <c r="O50" s="145"/>
      <c r="P50" s="145"/>
      <c r="Q50" s="145"/>
      <c r="R50" s="145"/>
      <c r="S50" s="145"/>
      <c r="T50" s="145"/>
      <c r="U50" s="145"/>
      <c r="V50" s="145"/>
      <c r="W50" s="145"/>
      <c r="X50" s="145"/>
      <c r="Y50" s="145"/>
      <c r="Z50" s="145"/>
      <c r="AA50" s="145"/>
      <c r="AB50" s="145"/>
      <c r="AC50" s="145"/>
      <c r="AD50" s="146"/>
    </row>
    <row r="51" spans="2:30" ht="27" customHeight="1">
      <c r="B51" s="132" t="s">
        <v>159</v>
      </c>
      <c r="C51" s="133"/>
      <c r="D51" s="133"/>
      <c r="E51" s="133"/>
      <c r="F51" s="133"/>
      <c r="G51" s="133"/>
      <c r="H51" s="133"/>
      <c r="I51" s="133"/>
      <c r="J51" s="134"/>
      <c r="K51" s="136">
        <f>SF_Data!O5</f>
        <v>0</v>
      </c>
      <c r="L51" s="136"/>
      <c r="M51" s="136"/>
      <c r="N51" s="136"/>
      <c r="O51" s="136"/>
      <c r="P51" s="136"/>
      <c r="Q51" s="136"/>
      <c r="R51" s="136"/>
      <c r="S51" s="136"/>
      <c r="T51" s="136"/>
      <c r="U51" s="136"/>
      <c r="V51" s="136"/>
      <c r="W51" s="136"/>
      <c r="X51" s="136"/>
      <c r="Y51" s="136"/>
      <c r="Z51" s="136"/>
      <c r="AA51" s="136"/>
      <c r="AB51" s="136"/>
      <c r="AC51" s="136"/>
      <c r="AD51" s="137"/>
    </row>
    <row r="52" spans="2:30" ht="12" customHeight="1"/>
    <row r="53" spans="2:30" ht="20.25" customHeight="1">
      <c r="D53" s="66" t="str">
        <f>IF(SF_Data!AA5="-","","ホームページスペースサービスのご利用設定項目")</f>
        <v>ホームページスペースサービスのご利用設定項目</v>
      </c>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row>
    <row r="54" spans="2:30" ht="27" customHeight="1">
      <c r="B54" s="110" t="str">
        <f>IF(SF_Data!AA5="-","","お客様のホームページURL")</f>
        <v>お客様のホームページURL</v>
      </c>
      <c r="C54" s="110"/>
      <c r="D54" s="110"/>
      <c r="E54" s="110"/>
      <c r="F54" s="110"/>
      <c r="G54" s="110"/>
      <c r="H54" s="110"/>
      <c r="I54" s="110"/>
      <c r="J54" s="110"/>
      <c r="K54" s="131" t="str">
        <f>IF(SF_Data!AA5="-","","https://home.cs-contact.jp"&amp;"/~"&amp; SF_Data!AA5 &amp;"/")</f>
        <v>https://home.cs-contact.jp/~/</v>
      </c>
      <c r="L54" s="131"/>
      <c r="M54" s="131"/>
      <c r="N54" s="131"/>
      <c r="O54" s="131"/>
      <c r="P54" s="131"/>
      <c r="Q54" s="131"/>
      <c r="R54" s="131"/>
      <c r="S54" s="131"/>
      <c r="T54" s="131"/>
      <c r="U54" s="131"/>
      <c r="V54" s="131"/>
      <c r="W54" s="131"/>
      <c r="X54" s="131"/>
      <c r="Y54" s="131"/>
      <c r="Z54" s="131"/>
      <c r="AA54" s="131"/>
      <c r="AB54" s="131"/>
      <c r="AC54" s="131"/>
      <c r="AD54" s="131"/>
    </row>
    <row r="55" spans="2:30" ht="27" customHeight="1">
      <c r="B55" s="110" t="str">
        <f>IF(SF_Data!AA5="-","","ユーザー名")</f>
        <v>ユーザー名</v>
      </c>
      <c r="C55" s="110"/>
      <c r="D55" s="110"/>
      <c r="E55" s="110"/>
      <c r="F55" s="110"/>
      <c r="G55" s="110"/>
      <c r="H55" s="110"/>
      <c r="I55" s="110"/>
      <c r="J55" s="110"/>
      <c r="K55" s="131">
        <f>IF(SF_Data!AA5="-","",SF_Data!AA5)</f>
        <v>0</v>
      </c>
      <c r="L55" s="131"/>
      <c r="M55" s="131"/>
      <c r="N55" s="131"/>
      <c r="O55" s="131"/>
      <c r="P55" s="131"/>
      <c r="Q55" s="131"/>
      <c r="R55" s="131"/>
      <c r="S55" s="131"/>
      <c r="T55" s="131"/>
      <c r="U55" s="131"/>
      <c r="V55" s="131"/>
      <c r="W55" s="131"/>
      <c r="X55" s="131"/>
      <c r="Y55" s="131"/>
      <c r="Z55" s="131"/>
      <c r="AA55" s="131"/>
      <c r="AB55" s="131"/>
      <c r="AC55" s="131"/>
      <c r="AD55" s="131"/>
    </row>
    <row r="56" spans="2:30" ht="27" customHeight="1">
      <c r="B56" s="110" t="str">
        <f>IF(SF_Data!AA5="-","","FTPサーバーホスト名")</f>
        <v>FTPサーバーホスト名</v>
      </c>
      <c r="C56" s="110"/>
      <c r="D56" s="110"/>
      <c r="E56" s="110"/>
      <c r="F56" s="110"/>
      <c r="G56" s="110"/>
      <c r="H56" s="110"/>
      <c r="I56" s="110"/>
      <c r="J56" s="110"/>
      <c r="K56" s="131" t="str">
        <f>IF(SF_Data!AA5="-","","home.cs-contact.jp")</f>
        <v>home.cs-contact.jp</v>
      </c>
      <c r="L56" s="131"/>
      <c r="M56" s="131"/>
      <c r="N56" s="131"/>
      <c r="O56" s="131"/>
      <c r="P56" s="131"/>
      <c r="Q56" s="131"/>
      <c r="R56" s="131"/>
      <c r="S56" s="131"/>
      <c r="T56" s="131"/>
      <c r="U56" s="131"/>
      <c r="V56" s="131"/>
      <c r="W56" s="131"/>
      <c r="X56" s="131"/>
      <c r="Y56" s="131"/>
      <c r="Z56" s="131"/>
      <c r="AA56" s="131"/>
      <c r="AB56" s="131"/>
      <c r="AC56" s="131"/>
      <c r="AD56" s="131"/>
    </row>
    <row r="57" spans="2:30" ht="8.25" customHeight="1"/>
    <row r="58" spans="2:30" ht="8.25" customHeight="1"/>
    <row r="59" spans="2:30" ht="8.25" customHeight="1"/>
    <row r="60" spans="2:30" ht="58.2" customHeight="1"/>
    <row r="61" spans="2:30" ht="20.25" customHeight="1">
      <c r="D61" s="66" t="s">
        <v>248</v>
      </c>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row>
    <row r="62" spans="2:30" ht="27" customHeight="1">
      <c r="B62" s="129" t="s">
        <v>21</v>
      </c>
      <c r="C62" s="129"/>
      <c r="D62" s="129"/>
      <c r="E62" s="129"/>
      <c r="F62" s="129"/>
      <c r="G62" s="129"/>
      <c r="H62" s="129"/>
      <c r="I62" s="129"/>
      <c r="J62" s="129"/>
      <c r="K62" s="130">
        <f>SF_Data!F5</f>
        <v>0</v>
      </c>
      <c r="L62" s="130"/>
      <c r="M62" s="130"/>
      <c r="N62" s="130"/>
      <c r="O62" s="130"/>
      <c r="P62" s="130"/>
      <c r="Q62" s="130"/>
      <c r="R62" s="130"/>
      <c r="S62" s="130"/>
      <c r="T62" s="130"/>
      <c r="U62" s="130"/>
      <c r="V62" s="130"/>
      <c r="W62" s="130"/>
      <c r="X62" s="130"/>
      <c r="Y62" s="130"/>
      <c r="Z62" s="130"/>
      <c r="AA62" s="130"/>
      <c r="AB62" s="130"/>
      <c r="AC62" s="130"/>
      <c r="AD62" s="130"/>
    </row>
    <row r="63" spans="2:30" ht="27" customHeight="1">
      <c r="B63" s="129" t="s">
        <v>48</v>
      </c>
      <c r="C63" s="129"/>
      <c r="D63" s="129"/>
      <c r="E63" s="129"/>
      <c r="F63" s="129"/>
      <c r="G63" s="129"/>
      <c r="H63" s="129"/>
      <c r="I63" s="129"/>
      <c r="J63" s="129"/>
      <c r="K63" s="130">
        <f>SF_Data!P5</f>
        <v>0</v>
      </c>
      <c r="L63" s="130"/>
      <c r="M63" s="130"/>
      <c r="N63" s="130"/>
      <c r="O63" s="130"/>
      <c r="P63" s="130"/>
      <c r="Q63" s="130"/>
      <c r="R63" s="130"/>
      <c r="S63" s="130"/>
      <c r="T63" s="130"/>
      <c r="U63" s="130"/>
      <c r="V63" s="130"/>
      <c r="W63" s="130"/>
      <c r="X63" s="130"/>
      <c r="Y63" s="130"/>
      <c r="Z63" s="130"/>
      <c r="AA63" s="130"/>
      <c r="AB63" s="130"/>
      <c r="AC63" s="130"/>
      <c r="AD63" s="130"/>
    </row>
    <row r="64" spans="2:30" ht="27" customHeight="1">
      <c r="B64" s="129" t="s">
        <v>49</v>
      </c>
      <c r="C64" s="129"/>
      <c r="D64" s="129"/>
      <c r="E64" s="129"/>
      <c r="F64" s="129"/>
      <c r="G64" s="129"/>
      <c r="H64" s="129"/>
      <c r="I64" s="129"/>
      <c r="J64" s="129"/>
      <c r="K64" s="130">
        <f>SF_Data!Q5</f>
        <v>0</v>
      </c>
      <c r="L64" s="130"/>
      <c r="M64" s="130"/>
      <c r="N64" s="130"/>
      <c r="O64" s="130"/>
      <c r="P64" s="130"/>
      <c r="Q64" s="130"/>
      <c r="R64" s="130"/>
      <c r="S64" s="130"/>
      <c r="T64" s="130"/>
      <c r="U64" s="130"/>
      <c r="V64" s="130"/>
      <c r="W64" s="130"/>
      <c r="X64" s="130"/>
      <c r="Y64" s="130"/>
      <c r="Z64" s="130"/>
      <c r="AA64" s="130"/>
      <c r="AB64" s="130"/>
      <c r="AC64" s="130"/>
      <c r="AD64" s="130"/>
    </row>
    <row r="65" spans="2:30" ht="6" customHeight="1">
      <c r="B65" s="17"/>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6"/>
    </row>
    <row r="66" spans="2:30" ht="13.5" customHeight="1">
      <c r="B66" s="116" t="s">
        <v>50</v>
      </c>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8"/>
    </row>
    <row r="67" spans="2:30" ht="13.5" customHeight="1">
      <c r="B67" s="116" t="s">
        <v>51</v>
      </c>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8"/>
    </row>
    <row r="68" spans="2:30" ht="13.5" customHeight="1">
      <c r="B68" s="116" t="s">
        <v>52</v>
      </c>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8"/>
    </row>
    <row r="69" spans="2:30" ht="13.5" customHeight="1">
      <c r="B69" s="116" t="s">
        <v>53</v>
      </c>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8"/>
    </row>
    <row r="70" spans="2:30" ht="13.5" customHeight="1">
      <c r="B70" s="119" t="s">
        <v>54</v>
      </c>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1"/>
    </row>
    <row r="71" spans="2:30" ht="18" customHeight="1"/>
    <row r="72" spans="2:30" ht="20.25" customHeight="1">
      <c r="D72" s="66" t="s">
        <v>55</v>
      </c>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row>
    <row r="73" spans="2:30" ht="6.75" customHeight="1">
      <c r="B73" s="93" t="s">
        <v>56</v>
      </c>
      <c r="C73" s="94"/>
      <c r="D73" s="94"/>
      <c r="E73" s="94"/>
      <c r="F73" s="94"/>
      <c r="G73" s="94"/>
      <c r="H73" s="94"/>
      <c r="I73" s="94"/>
      <c r="J73" s="95"/>
      <c r="K73" s="8"/>
      <c r="L73" s="9"/>
      <c r="M73" s="9"/>
      <c r="N73" s="9"/>
      <c r="O73" s="9"/>
      <c r="P73" s="9"/>
      <c r="Q73" s="9"/>
      <c r="R73" s="9"/>
      <c r="S73" s="9"/>
      <c r="T73" s="9"/>
      <c r="U73" s="9"/>
      <c r="V73" s="9"/>
      <c r="W73" s="9"/>
      <c r="X73" s="9"/>
      <c r="Y73" s="9"/>
      <c r="Z73" s="9"/>
      <c r="AA73" s="9"/>
      <c r="AB73" s="9"/>
      <c r="AC73" s="9"/>
      <c r="AD73" s="10"/>
    </row>
    <row r="74" spans="2:30" ht="20.25" customHeight="1">
      <c r="B74" s="96"/>
      <c r="C74" s="97"/>
      <c r="D74" s="97"/>
      <c r="E74" s="97"/>
      <c r="F74" s="97"/>
      <c r="G74" s="97"/>
      <c r="H74" s="97"/>
      <c r="I74" s="97"/>
      <c r="J74" s="98"/>
      <c r="K74" s="14"/>
      <c r="L74" s="122" t="s">
        <v>161</v>
      </c>
      <c r="M74" s="122"/>
      <c r="N74" s="122"/>
      <c r="O74" s="122"/>
      <c r="P74" s="122"/>
      <c r="Q74" s="122"/>
      <c r="R74" s="122"/>
      <c r="S74" s="122"/>
      <c r="T74" s="122"/>
      <c r="U74" s="122"/>
      <c r="V74" s="122"/>
      <c r="W74" s="122"/>
      <c r="X74" s="122"/>
      <c r="Y74" s="122"/>
      <c r="Z74" s="122"/>
      <c r="AA74" s="122"/>
      <c r="AB74" s="122"/>
      <c r="AC74" s="122"/>
      <c r="AD74" s="123"/>
    </row>
    <row r="75" spans="2:30" ht="20.25" customHeight="1">
      <c r="B75" s="96"/>
      <c r="C75" s="97"/>
      <c r="D75" s="97"/>
      <c r="E75" s="97"/>
      <c r="F75" s="97"/>
      <c r="G75" s="97"/>
      <c r="H75" s="97"/>
      <c r="I75" s="97"/>
      <c r="J75" s="98"/>
      <c r="K75" s="14"/>
      <c r="L75" s="122" t="s">
        <v>57</v>
      </c>
      <c r="M75" s="122"/>
      <c r="N75" s="122"/>
      <c r="O75" s="122"/>
      <c r="P75" s="122"/>
      <c r="Q75" s="122"/>
      <c r="R75" s="122"/>
      <c r="S75" s="122"/>
      <c r="T75" s="122"/>
      <c r="U75" s="122"/>
      <c r="V75" s="122"/>
      <c r="W75" s="122"/>
      <c r="X75" s="122"/>
      <c r="Y75" s="122"/>
      <c r="Z75" s="122"/>
      <c r="AA75" s="122"/>
      <c r="AB75" s="122"/>
      <c r="AC75" s="122"/>
      <c r="AD75" s="123"/>
    </row>
    <row r="76" spans="2:30" ht="20.25" customHeight="1">
      <c r="B76" s="96"/>
      <c r="C76" s="97"/>
      <c r="D76" s="97"/>
      <c r="E76" s="97"/>
      <c r="F76" s="97"/>
      <c r="G76" s="97"/>
      <c r="H76" s="97"/>
      <c r="I76" s="97"/>
      <c r="J76" s="98"/>
      <c r="K76" s="14"/>
      <c r="L76" s="122" t="s">
        <v>58</v>
      </c>
      <c r="M76" s="122"/>
      <c r="N76" s="122"/>
      <c r="O76" s="122"/>
      <c r="P76" s="122"/>
      <c r="Q76" s="122"/>
      <c r="R76" s="122"/>
      <c r="S76" s="122"/>
      <c r="T76" s="122"/>
      <c r="U76" s="122"/>
      <c r="V76" s="122"/>
      <c r="W76" s="122"/>
      <c r="X76" s="122"/>
      <c r="Y76" s="122"/>
      <c r="Z76" s="122"/>
      <c r="AA76" s="122"/>
      <c r="AB76" s="122"/>
      <c r="AC76" s="122"/>
      <c r="AD76" s="123"/>
    </row>
    <row r="77" spans="2:30" ht="13.5" customHeight="1">
      <c r="B77" s="99"/>
      <c r="C77" s="100"/>
      <c r="D77" s="100"/>
      <c r="E77" s="100"/>
      <c r="F77" s="100"/>
      <c r="G77" s="100"/>
      <c r="H77" s="100"/>
      <c r="I77" s="100"/>
      <c r="J77" s="101"/>
      <c r="K77" s="11"/>
      <c r="L77" s="12"/>
      <c r="M77" s="12"/>
      <c r="N77" s="12"/>
      <c r="O77" s="12"/>
      <c r="P77" s="12"/>
      <c r="Q77" s="12"/>
      <c r="R77" s="12"/>
      <c r="S77" s="12"/>
      <c r="T77" s="12"/>
      <c r="U77" s="12"/>
      <c r="V77" s="12"/>
      <c r="W77" s="12"/>
      <c r="X77" s="12"/>
      <c r="Y77" s="12"/>
      <c r="Z77" s="12"/>
      <c r="AA77" s="12"/>
      <c r="AB77" s="12"/>
      <c r="AC77" s="12"/>
      <c r="AD77" s="13"/>
    </row>
    <row r="78" spans="2:30" ht="18" customHeight="1"/>
    <row r="79" spans="2:30" ht="12" customHeight="1"/>
    <row r="80" spans="2:30" ht="20.25" customHeight="1">
      <c r="D80" s="66" t="s">
        <v>65</v>
      </c>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row>
    <row r="81" spans="2:30" ht="6.75" customHeight="1">
      <c r="B81" s="93" t="s">
        <v>66</v>
      </c>
      <c r="C81" s="94"/>
      <c r="D81" s="94"/>
      <c r="E81" s="94"/>
      <c r="F81" s="95"/>
      <c r="G81" s="8"/>
      <c r="H81" s="9"/>
      <c r="I81" s="9"/>
      <c r="J81" s="9"/>
      <c r="K81" s="9"/>
      <c r="L81" s="9"/>
      <c r="M81" s="9"/>
      <c r="N81" s="9"/>
      <c r="O81" s="9"/>
      <c r="P81" s="9"/>
      <c r="Q81" s="9"/>
      <c r="R81" s="9"/>
      <c r="S81" s="9"/>
      <c r="T81" s="9"/>
      <c r="U81" s="9"/>
      <c r="V81" s="9"/>
      <c r="W81" s="9"/>
      <c r="X81" s="9"/>
      <c r="Y81" s="9"/>
      <c r="Z81" s="9"/>
      <c r="AA81" s="9"/>
      <c r="AB81" s="9"/>
      <c r="AC81" s="10"/>
    </row>
    <row r="82" spans="2:30" ht="13.5" customHeight="1">
      <c r="B82" s="96"/>
      <c r="C82" s="97"/>
      <c r="D82" s="97"/>
      <c r="E82" s="97"/>
      <c r="F82" s="98"/>
      <c r="G82" s="14"/>
      <c r="H82" s="69" t="s">
        <v>67</v>
      </c>
      <c r="I82" s="69"/>
      <c r="J82" s="69"/>
      <c r="K82" s="69"/>
      <c r="L82" s="69"/>
      <c r="M82" s="69"/>
      <c r="N82" s="69"/>
      <c r="O82" s="69"/>
      <c r="P82" s="69"/>
      <c r="Q82" s="69"/>
      <c r="R82" s="69"/>
      <c r="S82" s="69"/>
      <c r="T82" s="69"/>
      <c r="U82" s="69"/>
      <c r="V82" s="69"/>
      <c r="W82" s="69"/>
      <c r="X82" s="69"/>
      <c r="Y82" s="69"/>
      <c r="Z82" s="69"/>
      <c r="AA82" s="69"/>
      <c r="AB82" s="69"/>
      <c r="AC82" s="15"/>
    </row>
    <row r="83" spans="2:30" ht="13.5" customHeight="1">
      <c r="B83" s="96"/>
      <c r="C83" s="97"/>
      <c r="D83" s="97"/>
      <c r="E83" s="97"/>
      <c r="F83" s="98"/>
      <c r="G83" s="14"/>
      <c r="H83" s="69" t="s">
        <v>68</v>
      </c>
      <c r="I83" s="69"/>
      <c r="J83" s="69"/>
      <c r="K83" s="69"/>
      <c r="L83" s="69"/>
      <c r="M83" s="69"/>
      <c r="N83" s="69"/>
      <c r="O83" s="69"/>
      <c r="P83" s="69"/>
      <c r="Q83" s="69"/>
      <c r="R83" s="69"/>
      <c r="S83" s="69"/>
      <c r="T83" s="69"/>
      <c r="U83" s="69"/>
      <c r="V83" s="69"/>
      <c r="W83" s="69"/>
      <c r="X83" s="69"/>
      <c r="Y83" s="69"/>
      <c r="Z83" s="69"/>
      <c r="AA83" s="69"/>
      <c r="AB83" s="69"/>
      <c r="AC83" s="15"/>
    </row>
    <row r="84" spans="2:30" ht="13.5" customHeight="1">
      <c r="B84" s="96"/>
      <c r="C84" s="97"/>
      <c r="D84" s="97"/>
      <c r="E84" s="97"/>
      <c r="F84" s="98"/>
      <c r="G84" s="14"/>
      <c r="H84" s="69" t="s">
        <v>193</v>
      </c>
      <c r="I84" s="69"/>
      <c r="J84" s="69"/>
      <c r="K84" s="69"/>
      <c r="L84" s="69"/>
      <c r="M84" s="69"/>
      <c r="N84" s="69"/>
      <c r="O84" s="69"/>
      <c r="P84" s="69"/>
      <c r="Q84" s="69"/>
      <c r="R84" s="69"/>
      <c r="S84" s="69"/>
      <c r="T84" s="69"/>
      <c r="U84" s="69"/>
      <c r="V84" s="69"/>
      <c r="W84" s="69"/>
      <c r="X84" s="69"/>
      <c r="Y84" s="69"/>
      <c r="Z84" s="69"/>
      <c r="AA84" s="69"/>
      <c r="AB84" s="69"/>
      <c r="AC84" s="15"/>
    </row>
    <row r="85" spans="2:30" ht="13.5" customHeight="1">
      <c r="B85" s="96"/>
      <c r="C85" s="97"/>
      <c r="D85" s="97"/>
      <c r="E85" s="97"/>
      <c r="F85" s="98"/>
      <c r="G85" s="14"/>
      <c r="H85" s="69" t="s">
        <v>192</v>
      </c>
      <c r="I85" s="69"/>
      <c r="J85" s="69"/>
      <c r="K85" s="69"/>
      <c r="L85" s="69"/>
      <c r="M85" s="69"/>
      <c r="N85" s="69"/>
      <c r="O85" s="69"/>
      <c r="P85" s="69"/>
      <c r="Q85" s="69"/>
      <c r="R85" s="69"/>
      <c r="S85" s="69"/>
      <c r="T85" s="69"/>
      <c r="U85" s="69"/>
      <c r="V85" s="69"/>
      <c r="W85" s="69"/>
      <c r="X85" s="69"/>
      <c r="Y85" s="69"/>
      <c r="Z85" s="69"/>
      <c r="AA85" s="69"/>
      <c r="AB85" s="69"/>
      <c r="AC85" s="15"/>
    </row>
    <row r="86" spans="2:30" ht="13.5" customHeight="1">
      <c r="B86" s="96"/>
      <c r="C86" s="97"/>
      <c r="D86" s="97"/>
      <c r="E86" s="97"/>
      <c r="F86" s="98"/>
      <c r="G86" s="14"/>
      <c r="H86" s="64" t="s">
        <v>194</v>
      </c>
      <c r="I86" s="64"/>
      <c r="J86" s="64"/>
      <c r="K86" s="64"/>
      <c r="L86" s="64"/>
      <c r="M86" s="64"/>
      <c r="N86" s="64"/>
      <c r="O86" s="64"/>
      <c r="P86" s="64"/>
      <c r="Q86" s="64"/>
      <c r="R86" s="64"/>
      <c r="S86" s="64"/>
      <c r="T86" s="64"/>
      <c r="U86" s="64"/>
      <c r="V86" s="64"/>
      <c r="W86" s="64"/>
      <c r="X86" s="64"/>
      <c r="Y86" s="64"/>
      <c r="Z86" s="64"/>
      <c r="AA86" s="64"/>
      <c r="AB86" s="64"/>
      <c r="AC86" s="15"/>
    </row>
    <row r="87" spans="2:30" ht="6.75" customHeight="1">
      <c r="B87" s="99"/>
      <c r="C87" s="100"/>
      <c r="D87" s="100"/>
      <c r="E87" s="100"/>
      <c r="F87" s="101"/>
      <c r="G87" s="11"/>
      <c r="H87" s="12"/>
      <c r="I87" s="12"/>
      <c r="J87" s="12"/>
      <c r="K87" s="12"/>
      <c r="L87" s="12"/>
      <c r="M87" s="12"/>
      <c r="N87" s="12"/>
      <c r="O87" s="12"/>
      <c r="P87" s="12"/>
      <c r="Q87" s="12"/>
      <c r="R87" s="12"/>
      <c r="S87" s="12"/>
      <c r="T87" s="12"/>
      <c r="U87" s="12"/>
      <c r="V87" s="12"/>
      <c r="W87" s="12"/>
      <c r="X87" s="12"/>
      <c r="Y87" s="12"/>
      <c r="Z87" s="12"/>
      <c r="AA87" s="12"/>
      <c r="AB87" s="12"/>
      <c r="AC87" s="13"/>
    </row>
    <row r="88" spans="2:30" ht="6" customHeight="1">
      <c r="B88" s="8"/>
      <c r="C88" s="9"/>
      <c r="D88" s="9"/>
      <c r="E88" s="9"/>
      <c r="F88" s="9"/>
      <c r="G88" s="9"/>
      <c r="H88" s="9"/>
      <c r="I88" s="9"/>
      <c r="J88" s="9"/>
      <c r="K88" s="9"/>
      <c r="L88" s="9"/>
      <c r="M88" s="9"/>
      <c r="N88" s="9"/>
      <c r="O88" s="9"/>
      <c r="P88" s="9"/>
      <c r="Q88" s="9"/>
      <c r="R88" s="9"/>
      <c r="S88" s="9"/>
      <c r="T88" s="9"/>
      <c r="U88" s="9"/>
      <c r="V88" s="9"/>
      <c r="W88" s="9"/>
      <c r="X88" s="9"/>
      <c r="Y88" s="9"/>
      <c r="Z88" s="9"/>
      <c r="AA88" s="9"/>
      <c r="AB88" s="9"/>
      <c r="AC88" s="10"/>
    </row>
    <row r="89" spans="2:30" ht="13.5" customHeight="1">
      <c r="B89" s="14"/>
      <c r="C89" s="187" t="s">
        <v>260</v>
      </c>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5"/>
    </row>
    <row r="90" spans="2:30" ht="13.5" customHeight="1">
      <c r="B90" s="11"/>
      <c r="C90" s="65" t="s">
        <v>69</v>
      </c>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13"/>
    </row>
    <row r="91" spans="2:30" ht="18" customHeight="1"/>
    <row r="92" spans="2:30" ht="20.25" customHeight="1">
      <c r="D92" s="66" t="s">
        <v>70</v>
      </c>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row>
    <row r="93" spans="2:30" ht="13.5" customHeight="1">
      <c r="B93" s="17"/>
      <c r="C93" s="67" t="s">
        <v>71</v>
      </c>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18"/>
    </row>
    <row r="94" spans="2:30" ht="13.5" customHeight="1">
      <c r="B94" s="14"/>
      <c r="C94" s="75" t="s">
        <v>163</v>
      </c>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18"/>
    </row>
    <row r="95" spans="2:30" ht="13.5" customHeight="1">
      <c r="B95" s="14"/>
      <c r="C95" s="186" t="s">
        <v>160</v>
      </c>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186"/>
      <c r="AC95" s="186"/>
      <c r="AD95" s="18"/>
    </row>
    <row r="96" spans="2:30" ht="13.5" customHeight="1">
      <c r="B96" s="14"/>
      <c r="C96" s="75" t="s">
        <v>164</v>
      </c>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18"/>
    </row>
    <row r="97" spans="2:30" ht="13.5" customHeight="1">
      <c r="B97" s="14"/>
      <c r="C97" s="186" t="s">
        <v>72</v>
      </c>
      <c r="D97" s="186"/>
      <c r="E97" s="186"/>
      <c r="F97" s="186"/>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
    </row>
    <row r="98" spans="2:30" ht="13.5" customHeight="1">
      <c r="B98" s="14"/>
      <c r="C98" s="186" t="s">
        <v>73</v>
      </c>
      <c r="D98" s="186"/>
      <c r="E98" s="186"/>
      <c r="F98" s="186"/>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
    </row>
    <row r="99" spans="2:30" ht="13.5" customHeight="1">
      <c r="B99" s="14"/>
      <c r="C99" s="75" t="s">
        <v>165</v>
      </c>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18"/>
    </row>
    <row r="100" spans="2:30" ht="13.5" customHeight="1">
      <c r="B100" s="11"/>
      <c r="C100" s="80" t="s">
        <v>166</v>
      </c>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18"/>
    </row>
    <row r="101" spans="2:30" ht="48" customHeight="1"/>
    <row r="102" spans="2:30" ht="13.2"/>
    <row r="103" spans="2:30" ht="11.25" customHeight="1"/>
    <row r="104" spans="2:30" ht="5.25" customHeight="1"/>
  </sheetData>
  <mergeCells count="125">
    <mergeCell ref="C95:AC95"/>
    <mergeCell ref="C96:AC96"/>
    <mergeCell ref="C97:AC97"/>
    <mergeCell ref="C98:AC98"/>
    <mergeCell ref="C99:AC99"/>
    <mergeCell ref="C100:AC100"/>
    <mergeCell ref="H86:AB86"/>
    <mergeCell ref="C89:AB89"/>
    <mergeCell ref="C90:AB90"/>
    <mergeCell ref="D92:AD92"/>
    <mergeCell ref="C93:AC93"/>
    <mergeCell ref="C94:AC94"/>
    <mergeCell ref="D80:AD80"/>
    <mergeCell ref="B81:F87"/>
    <mergeCell ref="H82:AB82"/>
    <mergeCell ref="H83:AB83"/>
    <mergeCell ref="H84:AB84"/>
    <mergeCell ref="H85:AB85"/>
    <mergeCell ref="B73:J77"/>
    <mergeCell ref="L74:AD74"/>
    <mergeCell ref="L75:AD75"/>
    <mergeCell ref="L76:AD76"/>
    <mergeCell ref="B66:AD66"/>
    <mergeCell ref="B67:AD67"/>
    <mergeCell ref="B68:AD68"/>
    <mergeCell ref="B69:AD69"/>
    <mergeCell ref="B70:AD70"/>
    <mergeCell ref="D72:AD72"/>
    <mergeCell ref="D61:AD61"/>
    <mergeCell ref="B62:J62"/>
    <mergeCell ref="K62:AD62"/>
    <mergeCell ref="B63:J63"/>
    <mergeCell ref="K63:AD63"/>
    <mergeCell ref="B64:J64"/>
    <mergeCell ref="K64:AD64"/>
    <mergeCell ref="D53:AD53"/>
    <mergeCell ref="B54:J54"/>
    <mergeCell ref="K54:AD54"/>
    <mergeCell ref="B55:J55"/>
    <mergeCell ref="K55:AD55"/>
    <mergeCell ref="B56:J56"/>
    <mergeCell ref="K56:AD56"/>
    <mergeCell ref="B48:J49"/>
    <mergeCell ref="K48:S49"/>
    <mergeCell ref="T48:AD49"/>
    <mergeCell ref="B50:J50"/>
    <mergeCell ref="K50:AD50"/>
    <mergeCell ref="B51:J51"/>
    <mergeCell ref="K51:AD51"/>
    <mergeCell ref="B46:J47"/>
    <mergeCell ref="K46:S47"/>
    <mergeCell ref="T46:AD47"/>
    <mergeCell ref="B38:J39"/>
    <mergeCell ref="K38:AD39"/>
    <mergeCell ref="D41:AD41"/>
    <mergeCell ref="B42:J42"/>
    <mergeCell ref="K42:AD42"/>
    <mergeCell ref="B43:J43"/>
    <mergeCell ref="K43:AD43"/>
    <mergeCell ref="AA36:AD37"/>
    <mergeCell ref="B44:J45"/>
    <mergeCell ref="K44:S45"/>
    <mergeCell ref="T44:AD45"/>
    <mergeCell ref="B34:J37"/>
    <mergeCell ref="K34:M34"/>
    <mergeCell ref="N34:O34"/>
    <mergeCell ref="P34:Q34"/>
    <mergeCell ref="S34:T34"/>
    <mergeCell ref="U34:W34"/>
    <mergeCell ref="B31:J33"/>
    <mergeCell ref="K31:M31"/>
    <mergeCell ref="N31:O31"/>
    <mergeCell ref="P31:Q31"/>
    <mergeCell ref="S31:T31"/>
    <mergeCell ref="U31:W31"/>
    <mergeCell ref="X34:Z34"/>
    <mergeCell ref="AA34:AD34"/>
    <mergeCell ref="K36:M37"/>
    <mergeCell ref="X31:Z31"/>
    <mergeCell ref="AA31:AD31"/>
    <mergeCell ref="K33:M33"/>
    <mergeCell ref="N33:O33"/>
    <mergeCell ref="P33:Q33"/>
    <mergeCell ref="S33:T33"/>
    <mergeCell ref="U33:W33"/>
    <mergeCell ref="X33:Z33"/>
    <mergeCell ref="AA33:AD33"/>
    <mergeCell ref="N36:O37"/>
    <mergeCell ref="P36:Q37"/>
    <mergeCell ref="R36:R37"/>
    <mergeCell ref="S36:T37"/>
    <mergeCell ref="U36:W37"/>
    <mergeCell ref="X36:Z37"/>
    <mergeCell ref="B28:J28"/>
    <mergeCell ref="K28:AD28"/>
    <mergeCell ref="B29:J30"/>
    <mergeCell ref="K29:R29"/>
    <mergeCell ref="S29:AD29"/>
    <mergeCell ref="K30:R30"/>
    <mergeCell ref="S30:AD30"/>
    <mergeCell ref="E23:AD23"/>
    <mergeCell ref="B25:J25"/>
    <mergeCell ref="K25:AD25"/>
    <mergeCell ref="B26:J26"/>
    <mergeCell ref="K26:AD26"/>
    <mergeCell ref="B27:J27"/>
    <mergeCell ref="K27:AD27"/>
    <mergeCell ref="C19:AE19"/>
    <mergeCell ref="C20:AE20"/>
    <mergeCell ref="E22:AA22"/>
    <mergeCell ref="D9:G9"/>
    <mergeCell ref="R9:AG9"/>
    <mergeCell ref="D10:H11"/>
    <mergeCell ref="R11:AG12"/>
    <mergeCell ref="C13:H13"/>
    <mergeCell ref="R13:AG13"/>
    <mergeCell ref="W2:AF2"/>
    <mergeCell ref="D3:F4"/>
    <mergeCell ref="G3:H4"/>
    <mergeCell ref="J4:N5"/>
    <mergeCell ref="D5:I6"/>
    <mergeCell ref="D7:I8"/>
    <mergeCell ref="R14:AG14"/>
    <mergeCell ref="A16:AH16"/>
    <mergeCell ref="A17:AH17"/>
  </mergeCells>
  <phoneticPr fontId="10"/>
  <pageMargins left="0.23622047244094491" right="0.23622047244094491" top="0.23622047244094491" bottom="0.23622047244094491" header="0.31496062992125984" footer="0.31496062992125984"/>
  <pageSetup paperSize="9" scale="93"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DDF1C798-0249-456C-B235-246E71F31D95}">
            <xm:f>SF_Data!$AA$2="-"</xm:f>
            <x14:dxf>
              <fill>
                <patternFill>
                  <bgColor theme="0"/>
                </patternFill>
              </fill>
              <border>
                <left/>
                <right/>
                <top/>
                <bottom/>
                <vertical/>
                <horizontal/>
              </border>
            </x14:dxf>
          </x14:cfRule>
          <xm:sqref>B54:AD56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AC23A-7817-4A11-983B-CD7D048C3629}">
  <sheetPr codeName="Sheet7"/>
  <dimension ref="A1:AL104"/>
  <sheetViews>
    <sheetView workbookViewId="0"/>
  </sheetViews>
  <sheetFormatPr defaultColWidth="6.88671875" defaultRowHeight="12.75" customHeight="1"/>
  <cols>
    <col min="1" max="1" width="8" customWidth="1"/>
    <col min="2" max="2" width="1.109375" customWidth="1"/>
    <col min="3" max="3" width="2.33203125" customWidth="1"/>
    <col min="4" max="5" width="3.44140625" customWidth="1"/>
    <col min="6" max="6" width="8" customWidth="1"/>
    <col min="7" max="7" width="1.109375" customWidth="1"/>
    <col min="8" max="8" width="18.33203125" customWidth="1"/>
    <col min="9" max="10" width="1.109375" customWidth="1"/>
    <col min="11" max="11" width="2.33203125" customWidth="1"/>
    <col min="12" max="12" width="3.44140625" customWidth="1"/>
    <col min="13" max="14" width="1.109375" customWidth="1"/>
    <col min="15" max="15" width="5.6640625" customWidth="1"/>
    <col min="16" max="16" width="3.5546875" customWidth="1"/>
    <col min="17" max="17" width="3.44140625" customWidth="1"/>
    <col min="19" max="19" width="4.5546875" customWidth="1"/>
    <col min="20" max="20" width="2.33203125" customWidth="1"/>
    <col min="21" max="21" width="1.109375" customWidth="1"/>
    <col min="22" max="22" width="4.5546875" customWidth="1"/>
    <col min="23" max="23" width="1.109375" customWidth="1"/>
    <col min="24" max="24" width="1.5546875" customWidth="1"/>
    <col min="25" max="25" width="3.33203125" customWidth="1"/>
    <col min="26" max="26" width="2" customWidth="1"/>
    <col min="27" max="27" width="1.109375" customWidth="1"/>
    <col min="28" max="28" width="3.44140625" customWidth="1"/>
    <col min="29" max="29" width="1.109375" customWidth="1"/>
    <col min="30" max="30" width="1" customWidth="1"/>
    <col min="31" max="31" width="1.33203125" customWidth="1"/>
    <col min="32" max="33" width="1.109375" customWidth="1"/>
    <col min="34" max="34" width="1.44140625" customWidth="1"/>
  </cols>
  <sheetData>
    <row r="1" spans="1:38" ht="6" customHeight="1"/>
    <row r="2" spans="1:38" ht="13.5" customHeight="1">
      <c r="W2" s="160">
        <f>SF_Data!J6</f>
        <v>0</v>
      </c>
      <c r="X2" s="160"/>
      <c r="Y2" s="160"/>
      <c r="Z2" s="160"/>
      <c r="AA2" s="160"/>
      <c r="AB2" s="160"/>
      <c r="AC2" s="160"/>
      <c r="AD2" s="160"/>
      <c r="AE2" s="160"/>
      <c r="AF2" s="160"/>
    </row>
    <row r="3" spans="1:38" ht="6.75" customHeight="1">
      <c r="C3" s="24"/>
      <c r="D3" s="164">
        <f>SF_Data!L6</f>
        <v>0</v>
      </c>
      <c r="E3" s="164"/>
      <c r="F3" s="164"/>
      <c r="G3" s="131" t="s">
        <v>167</v>
      </c>
      <c r="H3" s="131"/>
    </row>
    <row r="4" spans="1:38" ht="6.75" customHeight="1">
      <c r="C4" s="24"/>
      <c r="D4" s="164"/>
      <c r="E4" s="164"/>
      <c r="F4" s="164"/>
      <c r="G4" s="131"/>
      <c r="H4" s="131"/>
      <c r="J4" s="131"/>
      <c r="K4" s="131"/>
      <c r="L4" s="131"/>
      <c r="M4" s="131"/>
      <c r="N4" s="131"/>
    </row>
    <row r="5" spans="1:38" ht="6.75" customHeight="1">
      <c r="C5" s="24"/>
      <c r="D5" s="169">
        <f>SF_Data!M6</f>
        <v>0</v>
      </c>
      <c r="E5" s="169"/>
      <c r="F5" s="169"/>
      <c r="G5" s="169"/>
      <c r="H5" s="169"/>
      <c r="I5" s="169"/>
      <c r="J5" s="131"/>
      <c r="K5" s="131"/>
      <c r="L5" s="131"/>
      <c r="M5" s="131"/>
      <c r="N5" s="131"/>
    </row>
    <row r="6" spans="1:38" ht="6.75" customHeight="1">
      <c r="C6" s="24"/>
      <c r="D6" s="169"/>
      <c r="E6" s="169"/>
      <c r="F6" s="169"/>
      <c r="G6" s="169"/>
      <c r="H6" s="169"/>
      <c r="I6" s="169"/>
    </row>
    <row r="7" spans="1:38" ht="7.5" customHeight="1">
      <c r="C7" s="24"/>
      <c r="D7" s="169">
        <f>SF_Data!K6</f>
        <v>0</v>
      </c>
      <c r="E7" s="169"/>
      <c r="F7" s="169"/>
      <c r="G7" s="169"/>
      <c r="H7" s="169"/>
      <c r="I7" s="169"/>
      <c r="J7" s="24"/>
      <c r="K7" s="24"/>
    </row>
    <row r="8" spans="1:38" ht="6" customHeight="1">
      <c r="C8" s="24"/>
      <c r="D8" s="169"/>
      <c r="E8" s="169"/>
      <c r="F8" s="169"/>
      <c r="G8" s="169"/>
      <c r="H8" s="169"/>
      <c r="I8" s="169"/>
      <c r="J8" s="24"/>
      <c r="K8" s="24"/>
    </row>
    <row r="9" spans="1:38" ht="13.5" customHeight="1">
      <c r="C9" s="24"/>
      <c r="D9" s="169" t="str">
        <f>SF_Data!N6&amp;"　号室"</f>
        <v>　号室</v>
      </c>
      <c r="E9" s="169"/>
      <c r="F9" s="169"/>
      <c r="G9" s="169"/>
      <c r="H9" s="22"/>
      <c r="I9" s="22"/>
      <c r="J9" s="22"/>
      <c r="K9" s="22"/>
      <c r="L9" s="23"/>
      <c r="R9" s="122">
        <f>SF_Data!F6</f>
        <v>0</v>
      </c>
      <c r="S9" s="122"/>
      <c r="T9" s="122"/>
      <c r="U9" s="122"/>
      <c r="V9" s="122"/>
      <c r="W9" s="122"/>
      <c r="X9" s="122"/>
      <c r="Y9" s="122"/>
      <c r="Z9" s="122"/>
      <c r="AA9" s="122"/>
      <c r="AB9" s="122"/>
      <c r="AC9" s="122"/>
      <c r="AD9" s="122"/>
      <c r="AE9" s="122"/>
      <c r="AF9" s="122"/>
      <c r="AG9" s="122"/>
    </row>
    <row r="10" spans="1:38" ht="6.75" customHeight="1">
      <c r="C10" s="24"/>
      <c r="D10" s="169" t="str">
        <f>SF_Data!A6&amp;"　様"</f>
        <v>　様</v>
      </c>
      <c r="E10" s="169"/>
      <c r="F10" s="169"/>
      <c r="G10" s="169"/>
      <c r="H10" s="169"/>
      <c r="I10" s="24"/>
      <c r="J10" s="24"/>
      <c r="K10" s="24"/>
      <c r="L10" s="23"/>
    </row>
    <row r="11" spans="1:38" ht="6" customHeight="1">
      <c r="C11" s="24"/>
      <c r="D11" s="169"/>
      <c r="E11" s="169"/>
      <c r="F11" s="169"/>
      <c r="G11" s="169"/>
      <c r="H11" s="169"/>
      <c r="I11" s="24"/>
      <c r="J11" s="24"/>
      <c r="K11" s="24"/>
      <c r="L11" s="23"/>
      <c r="R11" s="75" t="str">
        <f>_xlfn.IFS(SF_Data!F6="C-Livingネット","ＴＥＬ ： 0120-922-804　ＦＡＸ ： 0120-922-068",SF_Data!F6="mis-p","ＴＥＬ ： 0120-922-804　ＦＡＸ ： 0120-922-068",TRUE,"ＴＥＬ ： 0120-901-197　ＦＡＸ ： 0120-922-068")</f>
        <v>ＴＥＬ ： 0120-901-197　ＦＡＸ ： 0120-922-068</v>
      </c>
      <c r="S11" s="75"/>
      <c r="T11" s="75"/>
      <c r="U11" s="75"/>
      <c r="V11" s="75"/>
      <c r="W11" s="75"/>
      <c r="X11" s="75"/>
      <c r="Y11" s="75"/>
      <c r="Z11" s="75"/>
      <c r="AA11" s="75"/>
      <c r="AB11" s="75"/>
      <c r="AC11" s="75"/>
      <c r="AD11" s="75"/>
      <c r="AE11" s="75"/>
      <c r="AF11" s="75"/>
      <c r="AG11" s="75"/>
    </row>
    <row r="12" spans="1:38" ht="9" customHeight="1">
      <c r="R12" s="75"/>
      <c r="S12" s="75"/>
      <c r="T12" s="75"/>
      <c r="U12" s="75"/>
      <c r="V12" s="75"/>
      <c r="W12" s="75"/>
      <c r="X12" s="75"/>
      <c r="Y12" s="75"/>
      <c r="Z12" s="75"/>
      <c r="AA12" s="75"/>
      <c r="AB12" s="75"/>
      <c r="AC12" s="75"/>
      <c r="AD12" s="75"/>
      <c r="AE12" s="75"/>
      <c r="AF12" s="75"/>
      <c r="AG12" s="75"/>
    </row>
    <row r="13" spans="1:38" ht="13.5" customHeight="1">
      <c r="C13" s="180" t="str">
        <f>SF_Data!F6&amp;"ご利用通知"</f>
        <v>ご利用通知</v>
      </c>
      <c r="D13" s="181"/>
      <c r="E13" s="181"/>
      <c r="F13" s="181"/>
      <c r="G13" s="181"/>
      <c r="H13" s="182"/>
      <c r="I13" s="25"/>
      <c r="J13" s="26"/>
      <c r="K13" s="26"/>
      <c r="L13" s="26"/>
      <c r="R13" s="75" t="str">
        <f>IF(SF_Data!X6=TRUE,"　　　24時間(365日)","平日)10:00～21:00　土日祝日)10:00～17:00")</f>
        <v>平日)10:00～21:00　土日祝日)10:00～17:00</v>
      </c>
      <c r="S13" s="75"/>
      <c r="T13" s="75"/>
      <c r="U13" s="75"/>
      <c r="V13" s="75"/>
      <c r="W13" s="75"/>
      <c r="X13" s="75"/>
      <c r="Y13" s="75"/>
      <c r="Z13" s="75"/>
      <c r="AA13" s="75"/>
      <c r="AB13" s="75"/>
      <c r="AC13" s="75"/>
      <c r="AD13" s="75"/>
      <c r="AE13" s="75"/>
      <c r="AF13" s="75"/>
      <c r="AG13" s="75"/>
    </row>
    <row r="14" spans="1:38" ht="11.25" customHeight="1">
      <c r="R14" s="170" t="str">
        <f>"mail ： support@"&amp; SF_Data!G6</f>
        <v>mail ： support@</v>
      </c>
      <c r="S14" s="170"/>
      <c r="T14" s="170"/>
      <c r="U14" s="170"/>
      <c r="V14" s="170"/>
      <c r="W14" s="170"/>
      <c r="X14" s="170"/>
      <c r="Y14" s="170"/>
      <c r="Z14" s="170"/>
      <c r="AA14" s="170"/>
      <c r="AB14" s="170"/>
      <c r="AC14" s="170"/>
      <c r="AD14" s="170"/>
      <c r="AE14" s="170"/>
      <c r="AF14" s="170"/>
      <c r="AG14" s="170"/>
      <c r="AJ14" s="28" t="s">
        <v>179</v>
      </c>
    </row>
    <row r="15" spans="1:38" ht="39" customHeight="1">
      <c r="AJ15" s="29">
        <f>SF_Data!W6</f>
        <v>0</v>
      </c>
      <c r="AK15" s="30"/>
      <c r="AL15" s="30"/>
    </row>
    <row r="16" spans="1:38" ht="36.75" customHeight="1">
      <c r="A16" s="172" t="str">
        <f>SF_Data!F6&amp; "　サービスご利用通知"</f>
        <v>　サービスご利用通知</v>
      </c>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row>
    <row r="17" spans="1:37" ht="13.2" customHeight="1">
      <c r="A17" s="166"/>
      <c r="B17" s="166"/>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row>
    <row r="18" spans="1:37" ht="9" customHeight="1"/>
    <row r="19" spans="1:37" ht="20.25" customHeight="1">
      <c r="C19" s="122" t="s">
        <v>23</v>
      </c>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K19" s="1"/>
    </row>
    <row r="20" spans="1:37" ht="20.25" customHeight="1">
      <c r="C20" s="122" t="s">
        <v>24</v>
      </c>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K20" s="2"/>
    </row>
    <row r="21" spans="1:37" ht="10.199999999999999" customHeight="1">
      <c r="AK21" s="2"/>
    </row>
    <row r="22" spans="1:37" ht="20.25" customHeight="1">
      <c r="E22" s="179" t="s">
        <v>25</v>
      </c>
      <c r="F22" s="179"/>
      <c r="G22" s="179"/>
      <c r="H22" s="179"/>
      <c r="I22" s="179"/>
      <c r="J22" s="179"/>
      <c r="K22" s="179"/>
      <c r="L22" s="179"/>
      <c r="M22" s="179"/>
      <c r="N22" s="179"/>
      <c r="O22" s="179"/>
      <c r="P22" s="179"/>
      <c r="Q22" s="179"/>
      <c r="R22" s="179"/>
      <c r="S22" s="179"/>
      <c r="T22" s="179"/>
      <c r="U22" s="179"/>
      <c r="V22" s="179"/>
      <c r="W22" s="179"/>
      <c r="X22" s="179"/>
      <c r="Y22" s="179"/>
      <c r="Z22" s="179"/>
      <c r="AA22" s="179"/>
    </row>
    <row r="23" spans="1:37" ht="11.25" customHeight="1">
      <c r="E23" s="179" t="s">
        <v>26</v>
      </c>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row>
    <row r="24" spans="1:37" ht="20.25" customHeight="1"/>
    <row r="25" spans="1:37" ht="27" customHeight="1">
      <c r="B25" s="129" t="s">
        <v>27</v>
      </c>
      <c r="C25" s="129"/>
      <c r="D25" s="129"/>
      <c r="E25" s="129"/>
      <c r="F25" s="129"/>
      <c r="G25" s="129"/>
      <c r="H25" s="129"/>
      <c r="I25" s="129"/>
      <c r="J25" s="129"/>
      <c r="K25" s="165" t="str">
        <f>SF_Data!A6&amp; "　様"</f>
        <v>　様</v>
      </c>
      <c r="L25" s="165"/>
      <c r="M25" s="165"/>
      <c r="N25" s="165"/>
      <c r="O25" s="165"/>
      <c r="P25" s="165"/>
      <c r="Q25" s="165"/>
      <c r="R25" s="165"/>
      <c r="S25" s="165"/>
      <c r="T25" s="165"/>
      <c r="U25" s="165"/>
      <c r="V25" s="165"/>
      <c r="W25" s="165"/>
      <c r="X25" s="165"/>
      <c r="Y25" s="165"/>
      <c r="Z25" s="165"/>
      <c r="AA25" s="165"/>
      <c r="AB25" s="165"/>
      <c r="AC25" s="165"/>
      <c r="AD25" s="165"/>
    </row>
    <row r="26" spans="1:37" ht="27" customHeight="1">
      <c r="B26" s="129" t="s">
        <v>22</v>
      </c>
      <c r="C26" s="129"/>
      <c r="D26" s="129"/>
      <c r="E26" s="129"/>
      <c r="F26" s="129"/>
      <c r="G26" s="129"/>
      <c r="H26" s="129"/>
      <c r="I26" s="129"/>
      <c r="J26" s="129"/>
      <c r="K26" s="165">
        <f>SF_Data!K6</f>
        <v>0</v>
      </c>
      <c r="L26" s="165"/>
      <c r="M26" s="165"/>
      <c r="N26" s="165"/>
      <c r="O26" s="165"/>
      <c r="P26" s="165"/>
      <c r="Q26" s="165"/>
      <c r="R26" s="165"/>
      <c r="S26" s="165"/>
      <c r="T26" s="165"/>
      <c r="U26" s="165"/>
      <c r="V26" s="165"/>
      <c r="W26" s="165"/>
      <c r="X26" s="165"/>
      <c r="Y26" s="165"/>
      <c r="Z26" s="165"/>
      <c r="AA26" s="165"/>
      <c r="AB26" s="165"/>
      <c r="AC26" s="165"/>
      <c r="AD26" s="165"/>
      <c r="AJ26" s="37"/>
    </row>
    <row r="27" spans="1:37" ht="27" customHeight="1">
      <c r="B27" s="129" t="s">
        <v>28</v>
      </c>
      <c r="C27" s="129"/>
      <c r="D27" s="129"/>
      <c r="E27" s="129"/>
      <c r="F27" s="129"/>
      <c r="G27" s="129"/>
      <c r="H27" s="129"/>
      <c r="I27" s="129"/>
      <c r="J27" s="129"/>
      <c r="K27" s="173" t="str">
        <f>SF_Data!N6&amp;"　号室"</f>
        <v>　号室</v>
      </c>
      <c r="L27" s="174"/>
      <c r="M27" s="174"/>
      <c r="N27" s="174"/>
      <c r="O27" s="174"/>
      <c r="P27" s="174"/>
      <c r="Q27" s="174"/>
      <c r="R27" s="174"/>
      <c r="S27" s="174"/>
      <c r="T27" s="174"/>
      <c r="U27" s="174"/>
      <c r="V27" s="174"/>
      <c r="W27" s="174"/>
      <c r="X27" s="174"/>
      <c r="Y27" s="174"/>
      <c r="Z27" s="174"/>
      <c r="AA27" s="174"/>
      <c r="AB27" s="174"/>
      <c r="AC27" s="174"/>
      <c r="AD27" s="175"/>
    </row>
    <row r="28" spans="1:37" ht="27" customHeight="1">
      <c r="B28" s="129" t="s">
        <v>29</v>
      </c>
      <c r="C28" s="129"/>
      <c r="D28" s="129"/>
      <c r="E28" s="129"/>
      <c r="F28" s="129"/>
      <c r="G28" s="129"/>
      <c r="H28" s="129"/>
      <c r="I28" s="129"/>
      <c r="J28" s="129"/>
      <c r="K28" s="173">
        <f>SF_Data!M6</f>
        <v>0</v>
      </c>
      <c r="L28" s="174"/>
      <c r="M28" s="174"/>
      <c r="N28" s="174"/>
      <c r="O28" s="174"/>
      <c r="P28" s="174"/>
      <c r="Q28" s="174"/>
      <c r="R28" s="174"/>
      <c r="S28" s="174"/>
      <c r="T28" s="174"/>
      <c r="U28" s="174"/>
      <c r="V28" s="174"/>
      <c r="W28" s="174"/>
      <c r="X28" s="174"/>
      <c r="Y28" s="174"/>
      <c r="Z28" s="174"/>
      <c r="AA28" s="174"/>
      <c r="AB28" s="174"/>
      <c r="AC28" s="174"/>
      <c r="AD28" s="175"/>
    </row>
    <row r="29" spans="1:37" ht="20.25" customHeight="1">
      <c r="B29" s="129" t="s">
        <v>30</v>
      </c>
      <c r="C29" s="129"/>
      <c r="D29" s="129"/>
      <c r="E29" s="129"/>
      <c r="F29" s="129"/>
      <c r="G29" s="129"/>
      <c r="H29" s="129"/>
      <c r="I29" s="129"/>
      <c r="J29" s="129"/>
      <c r="K29" s="176" t="s">
        <v>31</v>
      </c>
      <c r="L29" s="176"/>
      <c r="M29" s="176"/>
      <c r="N29" s="176"/>
      <c r="O29" s="176"/>
      <c r="P29" s="176"/>
      <c r="Q29" s="176"/>
      <c r="R29" s="176"/>
      <c r="S29" s="176" t="s">
        <v>32</v>
      </c>
      <c r="T29" s="176"/>
      <c r="U29" s="176"/>
      <c r="V29" s="176"/>
      <c r="W29" s="176"/>
      <c r="X29" s="176"/>
      <c r="Y29" s="176"/>
      <c r="Z29" s="176"/>
      <c r="AA29" s="176"/>
      <c r="AB29" s="176"/>
      <c r="AC29" s="176"/>
      <c r="AD29" s="176"/>
    </row>
    <row r="30" spans="1:37" ht="20.25" customHeight="1">
      <c r="B30" s="129"/>
      <c r="C30" s="129"/>
      <c r="D30" s="129"/>
      <c r="E30" s="129"/>
      <c r="F30" s="129"/>
      <c r="G30" s="129"/>
      <c r="H30" s="129"/>
      <c r="I30" s="129"/>
      <c r="J30" s="129"/>
      <c r="K30" s="165">
        <f>SF_Data!B6</f>
        <v>0</v>
      </c>
      <c r="L30" s="165"/>
      <c r="M30" s="165"/>
      <c r="N30" s="165"/>
      <c r="O30" s="165"/>
      <c r="P30" s="165"/>
      <c r="Q30" s="165"/>
      <c r="R30" s="165"/>
      <c r="S30" s="165">
        <f>SF_Data!C6</f>
        <v>0</v>
      </c>
      <c r="T30" s="165"/>
      <c r="U30" s="165"/>
      <c r="V30" s="165"/>
      <c r="W30" s="165"/>
      <c r="X30" s="165"/>
      <c r="Y30" s="165"/>
      <c r="Z30" s="165"/>
      <c r="AA30" s="165"/>
      <c r="AB30" s="165"/>
      <c r="AC30" s="165"/>
      <c r="AD30" s="165"/>
    </row>
    <row r="31" spans="1:37" ht="13.5" customHeight="1">
      <c r="B31" s="129" t="s">
        <v>33</v>
      </c>
      <c r="C31" s="129"/>
      <c r="D31" s="129"/>
      <c r="E31" s="129"/>
      <c r="F31" s="129"/>
      <c r="G31" s="129"/>
      <c r="H31" s="129"/>
      <c r="I31" s="129"/>
      <c r="J31" s="129"/>
      <c r="K31" s="152" t="str">
        <f>IF(K33="","",VLOOKUP(K33,カナ!A:B,2))</f>
        <v/>
      </c>
      <c r="L31" s="153"/>
      <c r="M31" s="154"/>
      <c r="N31" s="152" t="str">
        <f>IF(N33="","",VLOOKUP(N33,カナ!A:B,2))</f>
        <v/>
      </c>
      <c r="O31" s="154"/>
      <c r="P31" s="152" t="str">
        <f>IF(P33="","",VLOOKUP(P33,カナ!A:B,2))</f>
        <v/>
      </c>
      <c r="Q31" s="154"/>
      <c r="R31" s="20" t="str">
        <f>IF(R33="","",VLOOKUP(R33,カナ!A:B,2))</f>
        <v/>
      </c>
      <c r="S31" s="152" t="str">
        <f>IF(S33="","",VLOOKUP(S33,カナ!A:B,2))</f>
        <v/>
      </c>
      <c r="T31" s="154"/>
      <c r="U31" s="152" t="str">
        <f>IF(U33="","",VLOOKUP(U33,カナ!A:B,2))</f>
        <v/>
      </c>
      <c r="V31" s="153"/>
      <c r="W31" s="154"/>
      <c r="X31" s="152" t="str">
        <f>IF(X33="","",VLOOKUP(X33,カナ!A:B,2))</f>
        <v/>
      </c>
      <c r="Y31" s="153"/>
      <c r="Z31" s="154"/>
      <c r="AA31" s="177" t="str">
        <f>IF(AA33="","",VLOOKUP(AA33,カナ!A:B,2))</f>
        <v/>
      </c>
      <c r="AB31" s="177"/>
      <c r="AC31" s="177"/>
      <c r="AD31" s="178"/>
      <c r="AI31" s="4"/>
    </row>
    <row r="32" spans="1:37" ht="6.75" customHeight="1">
      <c r="B32" s="129"/>
      <c r="C32" s="129"/>
      <c r="D32" s="129"/>
      <c r="E32" s="129"/>
      <c r="F32" s="129"/>
      <c r="G32" s="129"/>
      <c r="H32" s="129"/>
      <c r="I32" s="129"/>
      <c r="J32" s="129"/>
      <c r="K32" s="14"/>
      <c r="M32" s="15"/>
      <c r="N32" s="14"/>
      <c r="O32" s="15"/>
      <c r="P32" s="14"/>
      <c r="Q32" s="15"/>
      <c r="R32" s="15"/>
      <c r="S32" s="14"/>
      <c r="T32" s="15"/>
      <c r="U32" s="14"/>
      <c r="W32" s="15"/>
      <c r="X32" s="14"/>
      <c r="Z32" s="15"/>
      <c r="AD32" s="15"/>
    </row>
    <row r="33" spans="2:36" ht="20.25" customHeight="1">
      <c r="B33" s="171"/>
      <c r="C33" s="171"/>
      <c r="D33" s="171"/>
      <c r="E33" s="171"/>
      <c r="F33" s="171"/>
      <c r="G33" s="171"/>
      <c r="H33" s="171"/>
      <c r="I33" s="171"/>
      <c r="J33" s="171"/>
      <c r="K33" s="147" t="str">
        <f>MID(SF_Data!H6,1,1)</f>
        <v/>
      </c>
      <c r="L33" s="131"/>
      <c r="M33" s="148"/>
      <c r="N33" s="147" t="str">
        <f>MID(SF_Data!H6,2,1)</f>
        <v/>
      </c>
      <c r="O33" s="148"/>
      <c r="P33" s="147" t="str">
        <f>MID(SF_Data!H6,3,1)</f>
        <v/>
      </c>
      <c r="Q33" s="148"/>
      <c r="R33" s="21" t="str">
        <f>MID(SF_Data!H6,4,1)</f>
        <v/>
      </c>
      <c r="S33" s="147" t="str">
        <f>MID(SF_Data!H6,5,1)</f>
        <v/>
      </c>
      <c r="T33" s="148"/>
      <c r="U33" s="147" t="str">
        <f>MID(SF_Data!H6,6,1)</f>
        <v/>
      </c>
      <c r="V33" s="131"/>
      <c r="W33" s="148"/>
      <c r="X33" s="147" t="str">
        <f>MID(SF_Data!H6,7,1)</f>
        <v/>
      </c>
      <c r="Y33" s="131"/>
      <c r="Z33" s="148"/>
      <c r="AA33" s="131" t="str">
        <f>MID(SF_Data!H6,8,1)</f>
        <v/>
      </c>
      <c r="AB33" s="131"/>
      <c r="AC33" s="131"/>
      <c r="AD33" s="148"/>
      <c r="AJ33" s="1"/>
    </row>
    <row r="34" spans="2:36" ht="13.2" customHeight="1">
      <c r="B34" s="155" t="s">
        <v>40</v>
      </c>
      <c r="C34" s="156"/>
      <c r="D34" s="156"/>
      <c r="E34" s="156"/>
      <c r="F34" s="156"/>
      <c r="G34" s="156"/>
      <c r="H34" s="156"/>
      <c r="I34" s="156"/>
      <c r="J34" s="157"/>
      <c r="K34" s="152" t="str">
        <f>IF(K36="","",VLOOKUP(K36,カナ!A:B,2))</f>
        <v/>
      </c>
      <c r="L34" s="153"/>
      <c r="M34" s="154"/>
      <c r="N34" s="152" t="str">
        <f>IF(N36="","",VLOOKUP(N36,カナ!A:B,2))</f>
        <v/>
      </c>
      <c r="O34" s="154"/>
      <c r="P34" s="152" t="str">
        <f>IF(P36="","",VLOOKUP(P36,カナ!A:B,2))</f>
        <v/>
      </c>
      <c r="Q34" s="154"/>
      <c r="R34" s="20" t="str">
        <f>IF(R36="","",VLOOKUP(R36,カナ!A:B,2))</f>
        <v/>
      </c>
      <c r="S34" s="152" t="str">
        <f>IF(S36="","",VLOOKUP(S36,カナ!A:B,2))</f>
        <v/>
      </c>
      <c r="T34" s="154"/>
      <c r="U34" s="152" t="str">
        <f>IF(U36="","",VLOOKUP(U36,カナ!A:B,2))</f>
        <v/>
      </c>
      <c r="V34" s="153"/>
      <c r="W34" s="154"/>
      <c r="X34" s="152" t="str">
        <f>IF(X36="","",VLOOKUP(X36,カナ!A:B,2))</f>
        <v/>
      </c>
      <c r="Y34" s="153"/>
      <c r="Z34" s="154"/>
      <c r="AA34" s="153" t="str">
        <f>IF(AA36="","",VLOOKUP(AA36,カナ!A:B,2))</f>
        <v/>
      </c>
      <c r="AB34" s="153"/>
      <c r="AC34" s="153"/>
      <c r="AD34" s="154"/>
    </row>
    <row r="35" spans="2:36" ht="6.75" customHeight="1">
      <c r="B35" s="96"/>
      <c r="C35" s="97"/>
      <c r="D35" s="97"/>
      <c r="E35" s="97"/>
      <c r="F35" s="97"/>
      <c r="G35" s="97"/>
      <c r="H35" s="97"/>
      <c r="I35" s="97"/>
      <c r="J35" s="98"/>
      <c r="K35" s="14"/>
      <c r="L35" s="1"/>
      <c r="M35" s="15"/>
      <c r="N35" s="14"/>
      <c r="O35" s="15"/>
      <c r="P35" s="14"/>
      <c r="Q35" s="15"/>
      <c r="R35" s="15"/>
      <c r="S35" s="14"/>
      <c r="T35" s="15"/>
      <c r="U35" s="14"/>
      <c r="W35" s="15"/>
      <c r="X35" s="14"/>
      <c r="Z35" s="15"/>
      <c r="AD35" s="15"/>
    </row>
    <row r="36" spans="2:36" ht="13.5" customHeight="1">
      <c r="B36" s="96"/>
      <c r="C36" s="97"/>
      <c r="D36" s="97"/>
      <c r="E36" s="97"/>
      <c r="F36" s="97"/>
      <c r="G36" s="97"/>
      <c r="H36" s="97"/>
      <c r="I36" s="97"/>
      <c r="J36" s="98"/>
      <c r="K36" s="147" t="str">
        <f>MID(SF_Data!I6,1,1)</f>
        <v/>
      </c>
      <c r="L36" s="131"/>
      <c r="M36" s="148"/>
      <c r="N36" s="147" t="str">
        <f>MID(SF_Data!I6,2,1)</f>
        <v/>
      </c>
      <c r="O36" s="148"/>
      <c r="P36" s="147" t="str">
        <f>MID(SF_Data!I6,3,1)</f>
        <v/>
      </c>
      <c r="Q36" s="148"/>
      <c r="R36" s="148" t="str">
        <f>MID(SF_Data!I6,4,1)</f>
        <v/>
      </c>
      <c r="S36" s="147" t="str">
        <f>MID(SF_Data!I6,5,1)</f>
        <v/>
      </c>
      <c r="T36" s="148"/>
      <c r="U36" s="147" t="str">
        <f>MID(SF_Data!I6,6,1)</f>
        <v/>
      </c>
      <c r="V36" s="131"/>
      <c r="W36" s="148"/>
      <c r="X36" s="147" t="str">
        <f>MID(SF_Data!I6,7,1)</f>
        <v/>
      </c>
      <c r="Y36" s="131"/>
      <c r="Z36" s="148"/>
      <c r="AA36" s="131" t="str">
        <f>MID(SF_Data!I6,8,1)</f>
        <v/>
      </c>
      <c r="AB36" s="131"/>
      <c r="AC36" s="131"/>
      <c r="AD36" s="148"/>
      <c r="AJ36" s="2"/>
    </row>
    <row r="37" spans="2:36" ht="6.75" customHeight="1">
      <c r="B37" s="99"/>
      <c r="C37" s="100"/>
      <c r="D37" s="100"/>
      <c r="E37" s="100"/>
      <c r="F37" s="100"/>
      <c r="G37" s="100"/>
      <c r="H37" s="100"/>
      <c r="I37" s="100"/>
      <c r="J37" s="101"/>
      <c r="K37" s="149"/>
      <c r="L37" s="150"/>
      <c r="M37" s="151"/>
      <c r="N37" s="149"/>
      <c r="O37" s="151"/>
      <c r="P37" s="149"/>
      <c r="Q37" s="151"/>
      <c r="R37" s="151"/>
      <c r="S37" s="149"/>
      <c r="T37" s="151"/>
      <c r="U37" s="149"/>
      <c r="V37" s="150"/>
      <c r="W37" s="151"/>
      <c r="X37" s="149"/>
      <c r="Y37" s="150"/>
      <c r="Z37" s="151"/>
      <c r="AA37" s="150"/>
      <c r="AB37" s="150"/>
      <c r="AC37" s="150"/>
      <c r="AD37" s="151"/>
    </row>
    <row r="38" spans="2:36" ht="6.75" customHeight="1">
      <c r="B38" s="158"/>
      <c r="C38" s="158"/>
      <c r="D38" s="158"/>
      <c r="E38" s="158"/>
      <c r="F38" s="158"/>
      <c r="G38" s="158"/>
      <c r="H38" s="158"/>
      <c r="I38" s="158"/>
      <c r="J38" s="158"/>
      <c r="K38" s="159"/>
      <c r="L38" s="159"/>
      <c r="M38" s="159"/>
      <c r="N38" s="159"/>
      <c r="O38" s="159"/>
      <c r="P38" s="159"/>
      <c r="Q38" s="159"/>
      <c r="R38" s="159"/>
      <c r="S38" s="159"/>
      <c r="T38" s="159"/>
      <c r="U38" s="159"/>
      <c r="V38" s="159"/>
      <c r="W38" s="159"/>
      <c r="X38" s="159"/>
      <c r="Y38" s="159"/>
      <c r="Z38" s="159"/>
      <c r="AA38" s="159"/>
      <c r="AB38" s="159"/>
      <c r="AC38" s="159"/>
      <c r="AD38" s="159"/>
    </row>
    <row r="39" spans="2:36" ht="20.25" customHeight="1">
      <c r="B39" s="110"/>
      <c r="C39" s="110"/>
      <c r="D39" s="110"/>
      <c r="E39" s="110"/>
      <c r="F39" s="110"/>
      <c r="G39" s="110"/>
      <c r="H39" s="110"/>
      <c r="I39" s="110"/>
      <c r="J39" s="110"/>
      <c r="K39" s="131"/>
      <c r="L39" s="131"/>
      <c r="M39" s="131"/>
      <c r="N39" s="131"/>
      <c r="O39" s="131"/>
      <c r="P39" s="131"/>
      <c r="Q39" s="131"/>
      <c r="R39" s="131"/>
      <c r="S39" s="131"/>
      <c r="T39" s="131"/>
      <c r="U39" s="131"/>
      <c r="V39" s="131"/>
      <c r="W39" s="131"/>
      <c r="X39" s="131"/>
      <c r="Y39" s="131"/>
      <c r="Z39" s="131"/>
      <c r="AA39" s="131"/>
      <c r="AB39" s="131"/>
      <c r="AC39" s="131"/>
      <c r="AD39" s="131"/>
      <c r="AI39" s="3"/>
    </row>
    <row r="40" spans="2:36" ht="12" customHeight="1"/>
    <row r="41" spans="2:36" ht="20.25" customHeight="1">
      <c r="D41" s="66" t="s">
        <v>42</v>
      </c>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row>
    <row r="42" spans="2:36" ht="27" customHeight="1">
      <c r="B42" s="129" t="s">
        <v>43</v>
      </c>
      <c r="C42" s="129"/>
      <c r="D42" s="129"/>
      <c r="E42" s="129"/>
      <c r="F42" s="129"/>
      <c r="G42" s="129"/>
      <c r="H42" s="129"/>
      <c r="I42" s="129"/>
      <c r="J42" s="129"/>
      <c r="K42" s="130">
        <f>SF_Data!D6</f>
        <v>0</v>
      </c>
      <c r="L42" s="130"/>
      <c r="M42" s="130"/>
      <c r="N42" s="130"/>
      <c r="O42" s="130"/>
      <c r="P42" s="130"/>
      <c r="Q42" s="130"/>
      <c r="R42" s="130"/>
      <c r="S42" s="130"/>
      <c r="T42" s="130"/>
      <c r="U42" s="130"/>
      <c r="V42" s="130"/>
      <c r="W42" s="130"/>
      <c r="X42" s="130"/>
      <c r="Y42" s="130"/>
      <c r="Z42" s="130"/>
      <c r="AA42" s="130"/>
      <c r="AB42" s="130"/>
      <c r="AC42" s="130"/>
      <c r="AD42" s="130"/>
    </row>
    <row r="43" spans="2:36" ht="27" customHeight="1">
      <c r="B43" s="129" t="s">
        <v>44</v>
      </c>
      <c r="C43" s="129"/>
      <c r="D43" s="129"/>
      <c r="E43" s="129"/>
      <c r="F43" s="129"/>
      <c r="G43" s="129"/>
      <c r="H43" s="129"/>
      <c r="I43" s="129"/>
      <c r="J43" s="129"/>
      <c r="K43" s="130" t="s">
        <v>45</v>
      </c>
      <c r="L43" s="130"/>
      <c r="M43" s="130"/>
      <c r="N43" s="130"/>
      <c r="O43" s="130"/>
      <c r="P43" s="130"/>
      <c r="Q43" s="130"/>
      <c r="R43" s="130"/>
      <c r="S43" s="130"/>
      <c r="T43" s="130"/>
      <c r="U43" s="130"/>
      <c r="V43" s="130"/>
      <c r="W43" s="130"/>
      <c r="X43" s="130"/>
      <c r="Y43" s="130"/>
      <c r="Z43" s="130"/>
      <c r="AA43" s="130"/>
      <c r="AB43" s="130"/>
      <c r="AC43" s="130"/>
      <c r="AD43" s="130"/>
    </row>
    <row r="44" spans="2:36" ht="6.75" customHeight="1">
      <c r="B44" s="132" t="s">
        <v>250</v>
      </c>
      <c r="C44" s="133"/>
      <c r="D44" s="133"/>
      <c r="E44" s="133"/>
      <c r="F44" s="133"/>
      <c r="G44" s="133"/>
      <c r="H44" s="133"/>
      <c r="I44" s="133"/>
      <c r="J44" s="134"/>
      <c r="K44" s="135" t="s">
        <v>256</v>
      </c>
      <c r="L44" s="136"/>
      <c r="M44" s="136"/>
      <c r="N44" s="136"/>
      <c r="O44" s="136"/>
      <c r="P44" s="136"/>
      <c r="Q44" s="136"/>
      <c r="R44" s="136"/>
      <c r="S44" s="137"/>
      <c r="T44" s="138" t="s">
        <v>253</v>
      </c>
      <c r="U44" s="139"/>
      <c r="V44" s="139"/>
      <c r="W44" s="139"/>
      <c r="X44" s="139"/>
      <c r="Y44" s="139"/>
      <c r="Z44" s="139"/>
      <c r="AA44" s="139"/>
      <c r="AB44" s="139"/>
      <c r="AC44" s="139"/>
      <c r="AD44" s="140"/>
    </row>
    <row r="45" spans="2:36" ht="20.25" customHeight="1">
      <c r="B45" s="132"/>
      <c r="C45" s="133"/>
      <c r="D45" s="133"/>
      <c r="E45" s="133"/>
      <c r="F45" s="133"/>
      <c r="G45" s="133"/>
      <c r="H45" s="133"/>
      <c r="I45" s="133"/>
      <c r="J45" s="134"/>
      <c r="K45" s="135"/>
      <c r="L45" s="136"/>
      <c r="M45" s="136"/>
      <c r="N45" s="136"/>
      <c r="O45" s="136"/>
      <c r="P45" s="136"/>
      <c r="Q45" s="136"/>
      <c r="R45" s="136"/>
      <c r="S45" s="137"/>
      <c r="T45" s="141"/>
      <c r="U45" s="142"/>
      <c r="V45" s="142"/>
      <c r="W45" s="142"/>
      <c r="X45" s="142"/>
      <c r="Y45" s="142"/>
      <c r="Z45" s="142"/>
      <c r="AA45" s="142"/>
      <c r="AB45" s="142"/>
      <c r="AC45" s="142"/>
      <c r="AD45" s="143"/>
    </row>
    <row r="46" spans="2:36" ht="6.75" customHeight="1">
      <c r="B46" s="132" t="s">
        <v>251</v>
      </c>
      <c r="C46" s="133"/>
      <c r="D46" s="133"/>
      <c r="E46" s="133"/>
      <c r="F46" s="133"/>
      <c r="G46" s="133"/>
      <c r="H46" s="133"/>
      <c r="I46" s="133"/>
      <c r="J46" s="134"/>
      <c r="K46" s="135" t="s">
        <v>257</v>
      </c>
      <c r="L46" s="136"/>
      <c r="M46" s="136"/>
      <c r="N46" s="136"/>
      <c r="O46" s="136"/>
      <c r="P46" s="136"/>
      <c r="Q46" s="136"/>
      <c r="R46" s="136"/>
      <c r="S46" s="137"/>
      <c r="T46" s="138" t="s">
        <v>254</v>
      </c>
      <c r="U46" s="139"/>
      <c r="V46" s="139"/>
      <c r="W46" s="139"/>
      <c r="X46" s="139"/>
      <c r="Y46" s="139"/>
      <c r="Z46" s="139"/>
      <c r="AA46" s="139"/>
      <c r="AB46" s="139"/>
      <c r="AC46" s="139"/>
      <c r="AD46" s="140"/>
    </row>
    <row r="47" spans="2:36" ht="20.25" customHeight="1">
      <c r="B47" s="132"/>
      <c r="C47" s="133"/>
      <c r="D47" s="133"/>
      <c r="E47" s="133"/>
      <c r="F47" s="133"/>
      <c r="G47" s="133"/>
      <c r="H47" s="133"/>
      <c r="I47" s="133"/>
      <c r="J47" s="134"/>
      <c r="K47" s="135"/>
      <c r="L47" s="136"/>
      <c r="M47" s="136"/>
      <c r="N47" s="136"/>
      <c r="O47" s="136"/>
      <c r="P47" s="136"/>
      <c r="Q47" s="136"/>
      <c r="R47" s="136"/>
      <c r="S47" s="137"/>
      <c r="T47" s="141"/>
      <c r="U47" s="142"/>
      <c r="V47" s="142"/>
      <c r="W47" s="142"/>
      <c r="X47" s="142"/>
      <c r="Y47" s="142"/>
      <c r="Z47" s="142"/>
      <c r="AA47" s="142"/>
      <c r="AB47" s="142"/>
      <c r="AC47" s="142"/>
      <c r="AD47" s="143"/>
    </row>
    <row r="48" spans="2:36" ht="6.75" customHeight="1">
      <c r="B48" s="132" t="s">
        <v>46</v>
      </c>
      <c r="C48" s="133"/>
      <c r="D48" s="133"/>
      <c r="E48" s="133"/>
      <c r="F48" s="133"/>
      <c r="G48" s="133"/>
      <c r="H48" s="133"/>
      <c r="I48" s="133"/>
      <c r="J48" s="134"/>
      <c r="K48" s="135" t="s">
        <v>258</v>
      </c>
      <c r="L48" s="136"/>
      <c r="M48" s="136"/>
      <c r="N48" s="136"/>
      <c r="O48" s="136"/>
      <c r="P48" s="136"/>
      <c r="Q48" s="136"/>
      <c r="R48" s="136"/>
      <c r="S48" s="137"/>
      <c r="T48" s="138" t="s">
        <v>255</v>
      </c>
      <c r="U48" s="139"/>
      <c r="V48" s="139"/>
      <c r="W48" s="139"/>
      <c r="X48" s="139"/>
      <c r="Y48" s="139"/>
      <c r="Z48" s="139"/>
      <c r="AA48" s="139"/>
      <c r="AB48" s="139"/>
      <c r="AC48" s="139"/>
      <c r="AD48" s="140"/>
    </row>
    <row r="49" spans="2:30" ht="20.25" customHeight="1">
      <c r="B49" s="132"/>
      <c r="C49" s="133"/>
      <c r="D49" s="133"/>
      <c r="E49" s="133"/>
      <c r="F49" s="133"/>
      <c r="G49" s="133"/>
      <c r="H49" s="133"/>
      <c r="I49" s="133"/>
      <c r="J49" s="134"/>
      <c r="K49" s="135"/>
      <c r="L49" s="136"/>
      <c r="M49" s="136"/>
      <c r="N49" s="136"/>
      <c r="O49" s="136"/>
      <c r="P49" s="136"/>
      <c r="Q49" s="136"/>
      <c r="R49" s="136"/>
      <c r="S49" s="137"/>
      <c r="T49" s="141"/>
      <c r="U49" s="142"/>
      <c r="V49" s="142"/>
      <c r="W49" s="142"/>
      <c r="X49" s="142"/>
      <c r="Y49" s="142"/>
      <c r="Z49" s="142"/>
      <c r="AA49" s="142"/>
      <c r="AB49" s="142"/>
      <c r="AC49" s="142"/>
      <c r="AD49" s="143"/>
    </row>
    <row r="50" spans="2:30" ht="27" customHeight="1">
      <c r="B50" s="96" t="s">
        <v>47</v>
      </c>
      <c r="C50" s="97"/>
      <c r="D50" s="97"/>
      <c r="E50" s="97"/>
      <c r="F50" s="97"/>
      <c r="G50" s="97"/>
      <c r="H50" s="97"/>
      <c r="I50" s="97"/>
      <c r="J50" s="98"/>
      <c r="K50" s="144" t="s">
        <v>259</v>
      </c>
      <c r="L50" s="145"/>
      <c r="M50" s="145"/>
      <c r="N50" s="145"/>
      <c r="O50" s="145"/>
      <c r="P50" s="145"/>
      <c r="Q50" s="145"/>
      <c r="R50" s="145"/>
      <c r="S50" s="145"/>
      <c r="T50" s="145"/>
      <c r="U50" s="145"/>
      <c r="V50" s="145"/>
      <c r="W50" s="145"/>
      <c r="X50" s="145"/>
      <c r="Y50" s="145"/>
      <c r="Z50" s="145"/>
      <c r="AA50" s="145"/>
      <c r="AB50" s="145"/>
      <c r="AC50" s="145"/>
      <c r="AD50" s="146"/>
    </row>
    <row r="51" spans="2:30" ht="27" customHeight="1">
      <c r="B51" s="132" t="s">
        <v>159</v>
      </c>
      <c r="C51" s="133"/>
      <c r="D51" s="133"/>
      <c r="E51" s="133"/>
      <c r="F51" s="133"/>
      <c r="G51" s="133"/>
      <c r="H51" s="133"/>
      <c r="I51" s="133"/>
      <c r="J51" s="134"/>
      <c r="K51" s="136">
        <f>SF_Data!O6</f>
        <v>0</v>
      </c>
      <c r="L51" s="136"/>
      <c r="M51" s="136"/>
      <c r="N51" s="136"/>
      <c r="O51" s="136"/>
      <c r="P51" s="136"/>
      <c r="Q51" s="136"/>
      <c r="R51" s="136"/>
      <c r="S51" s="136"/>
      <c r="T51" s="136"/>
      <c r="U51" s="136"/>
      <c r="V51" s="136"/>
      <c r="W51" s="136"/>
      <c r="X51" s="136"/>
      <c r="Y51" s="136"/>
      <c r="Z51" s="136"/>
      <c r="AA51" s="136"/>
      <c r="AB51" s="136"/>
      <c r="AC51" s="136"/>
      <c r="AD51" s="137"/>
    </row>
    <row r="52" spans="2:30" ht="12" customHeight="1"/>
    <row r="53" spans="2:30" ht="20.25" customHeight="1">
      <c r="D53" s="66" t="str">
        <f>IF(SF_Data!AA2="-","","ホームページスペースサービスのご利用設定項目")</f>
        <v>ホームページスペースサービスのご利用設定項目</v>
      </c>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row>
    <row r="54" spans="2:30" ht="27" customHeight="1">
      <c r="B54" s="129" t="str">
        <f>IF(SF_Data!AA2="-","","お客様のホームページURL")</f>
        <v>お客様のホームページURL</v>
      </c>
      <c r="C54" s="129"/>
      <c r="D54" s="129"/>
      <c r="E54" s="129"/>
      <c r="F54" s="129"/>
      <c r="G54" s="129"/>
      <c r="H54" s="129"/>
      <c r="I54" s="129"/>
      <c r="J54" s="129"/>
      <c r="K54" s="130" t="str">
        <f>IF(SF_Data!AA2="-","","https://home.cs-contact.jp" &amp;"/~"&amp; SF_Data!AA2 &amp;"/")</f>
        <v>https://home.cs-contact.jp/~/</v>
      </c>
      <c r="L54" s="130"/>
      <c r="M54" s="130"/>
      <c r="N54" s="130"/>
      <c r="O54" s="130"/>
      <c r="P54" s="130"/>
      <c r="Q54" s="130"/>
      <c r="R54" s="130"/>
      <c r="S54" s="130"/>
      <c r="T54" s="130"/>
      <c r="U54" s="130"/>
      <c r="V54" s="130"/>
      <c r="W54" s="130"/>
      <c r="X54" s="130"/>
      <c r="Y54" s="130"/>
      <c r="Z54" s="130"/>
      <c r="AA54" s="130"/>
      <c r="AB54" s="130"/>
      <c r="AC54" s="130"/>
      <c r="AD54" s="130"/>
    </row>
    <row r="55" spans="2:30" ht="27" customHeight="1">
      <c r="B55" s="129" t="str">
        <f>IF(SF_Data!AA2="-","","ユーザー名")</f>
        <v>ユーザー名</v>
      </c>
      <c r="C55" s="129"/>
      <c r="D55" s="129"/>
      <c r="E55" s="129"/>
      <c r="F55" s="129"/>
      <c r="G55" s="129"/>
      <c r="H55" s="129"/>
      <c r="I55" s="129"/>
      <c r="J55" s="129"/>
      <c r="K55" s="130">
        <f>IF(SF_Data!AA2="-","",SF_Data!AA2)</f>
        <v>0</v>
      </c>
      <c r="L55" s="130"/>
      <c r="M55" s="130"/>
      <c r="N55" s="130"/>
      <c r="O55" s="130"/>
      <c r="P55" s="130"/>
      <c r="Q55" s="130"/>
      <c r="R55" s="130"/>
      <c r="S55" s="130"/>
      <c r="T55" s="130"/>
      <c r="U55" s="130"/>
      <c r="V55" s="130"/>
      <c r="W55" s="130"/>
      <c r="X55" s="130"/>
      <c r="Y55" s="130"/>
      <c r="Z55" s="130"/>
      <c r="AA55" s="130"/>
      <c r="AB55" s="130"/>
      <c r="AC55" s="130"/>
      <c r="AD55" s="130"/>
    </row>
    <row r="56" spans="2:30" ht="27" customHeight="1">
      <c r="B56" s="129" t="str">
        <f>IF(SF_Data!AA2="-","","FTPサーバーホスト名")</f>
        <v>FTPサーバーホスト名</v>
      </c>
      <c r="C56" s="129"/>
      <c r="D56" s="129"/>
      <c r="E56" s="129"/>
      <c r="F56" s="129"/>
      <c r="G56" s="129"/>
      <c r="H56" s="129"/>
      <c r="I56" s="129"/>
      <c r="J56" s="129"/>
      <c r="K56" s="130" t="str">
        <f>IF(SF_Data!AA2="-","","home.cs-contact.jp")</f>
        <v>home.cs-contact.jp</v>
      </c>
      <c r="L56" s="130"/>
      <c r="M56" s="130"/>
      <c r="N56" s="130"/>
      <c r="O56" s="130"/>
      <c r="P56" s="130"/>
      <c r="Q56" s="130"/>
      <c r="R56" s="130"/>
      <c r="S56" s="130"/>
      <c r="T56" s="130"/>
      <c r="U56" s="130"/>
      <c r="V56" s="130"/>
      <c r="W56" s="130"/>
      <c r="X56" s="130"/>
      <c r="Y56" s="130"/>
      <c r="Z56" s="130"/>
      <c r="AA56" s="130"/>
      <c r="AB56" s="130"/>
      <c r="AC56" s="130"/>
      <c r="AD56" s="130"/>
    </row>
    <row r="57" spans="2:30" ht="8.25" customHeight="1"/>
    <row r="58" spans="2:30" ht="8.25" customHeight="1"/>
    <row r="59" spans="2:30" ht="8.25" customHeight="1"/>
    <row r="60" spans="2:30" ht="58.2" customHeight="1"/>
    <row r="61" spans="2:30" ht="20.25" customHeight="1">
      <c r="D61" s="66" t="s">
        <v>249</v>
      </c>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row>
    <row r="62" spans="2:30" ht="27" customHeight="1">
      <c r="B62" s="129" t="s">
        <v>21</v>
      </c>
      <c r="C62" s="129"/>
      <c r="D62" s="129"/>
      <c r="E62" s="129"/>
      <c r="F62" s="129"/>
      <c r="G62" s="129"/>
      <c r="H62" s="129"/>
      <c r="I62" s="129"/>
      <c r="J62" s="129"/>
      <c r="K62" s="130">
        <f>SF_Data!F6</f>
        <v>0</v>
      </c>
      <c r="L62" s="130"/>
      <c r="M62" s="130"/>
      <c r="N62" s="130"/>
      <c r="O62" s="130"/>
      <c r="P62" s="130"/>
      <c r="Q62" s="130"/>
      <c r="R62" s="130"/>
      <c r="S62" s="130"/>
      <c r="T62" s="130"/>
      <c r="U62" s="130"/>
      <c r="V62" s="130"/>
      <c r="W62" s="130"/>
      <c r="X62" s="130"/>
      <c r="Y62" s="130"/>
      <c r="Z62" s="130"/>
      <c r="AA62" s="130"/>
      <c r="AB62" s="130"/>
      <c r="AC62" s="130"/>
      <c r="AD62" s="130"/>
    </row>
    <row r="63" spans="2:30" ht="27" customHeight="1">
      <c r="B63" s="129" t="s">
        <v>48</v>
      </c>
      <c r="C63" s="129"/>
      <c r="D63" s="129"/>
      <c r="E63" s="129"/>
      <c r="F63" s="129"/>
      <c r="G63" s="129"/>
      <c r="H63" s="129"/>
      <c r="I63" s="129"/>
      <c r="J63" s="129"/>
      <c r="K63" s="130">
        <f>SF_Data!P6</f>
        <v>0</v>
      </c>
      <c r="L63" s="130"/>
      <c r="M63" s="130"/>
      <c r="N63" s="130"/>
      <c r="O63" s="130"/>
      <c r="P63" s="130"/>
      <c r="Q63" s="130"/>
      <c r="R63" s="130"/>
      <c r="S63" s="130"/>
      <c r="T63" s="130"/>
      <c r="U63" s="130"/>
      <c r="V63" s="130"/>
      <c r="W63" s="130"/>
      <c r="X63" s="130"/>
      <c r="Y63" s="130"/>
      <c r="Z63" s="130"/>
      <c r="AA63" s="130"/>
      <c r="AB63" s="130"/>
      <c r="AC63" s="130"/>
      <c r="AD63" s="130"/>
    </row>
    <row r="64" spans="2:30" ht="27" customHeight="1">
      <c r="B64" s="129" t="s">
        <v>49</v>
      </c>
      <c r="C64" s="129"/>
      <c r="D64" s="129"/>
      <c r="E64" s="129"/>
      <c r="F64" s="129"/>
      <c r="G64" s="129"/>
      <c r="H64" s="129"/>
      <c r="I64" s="129"/>
      <c r="J64" s="129"/>
      <c r="K64" s="130">
        <f>SF_Data!Q6</f>
        <v>0</v>
      </c>
      <c r="L64" s="130"/>
      <c r="M64" s="130"/>
      <c r="N64" s="130"/>
      <c r="O64" s="130"/>
      <c r="P64" s="130"/>
      <c r="Q64" s="130"/>
      <c r="R64" s="130"/>
      <c r="S64" s="130"/>
      <c r="T64" s="130"/>
      <c r="U64" s="130"/>
      <c r="V64" s="130"/>
      <c r="W64" s="130"/>
      <c r="X64" s="130"/>
      <c r="Y64" s="130"/>
      <c r="Z64" s="130"/>
      <c r="AA64" s="130"/>
      <c r="AB64" s="130"/>
      <c r="AC64" s="130"/>
      <c r="AD64" s="130"/>
    </row>
    <row r="65" spans="2:30" ht="6" customHeight="1">
      <c r="B65" s="17"/>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6"/>
    </row>
    <row r="66" spans="2:30" ht="13.5" customHeight="1">
      <c r="B66" s="116" t="s">
        <v>50</v>
      </c>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8"/>
    </row>
    <row r="67" spans="2:30" ht="13.5" customHeight="1">
      <c r="B67" s="116" t="s">
        <v>51</v>
      </c>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8"/>
    </row>
    <row r="68" spans="2:30" ht="13.5" customHeight="1">
      <c r="B68" s="116" t="s">
        <v>52</v>
      </c>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8"/>
    </row>
    <row r="69" spans="2:30" ht="13.5" customHeight="1">
      <c r="B69" s="116" t="s">
        <v>53</v>
      </c>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8"/>
    </row>
    <row r="70" spans="2:30" ht="13.5" customHeight="1">
      <c r="B70" s="119" t="s">
        <v>54</v>
      </c>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1"/>
    </row>
    <row r="71" spans="2:30" ht="18" customHeight="1"/>
    <row r="72" spans="2:30" ht="20.25" customHeight="1">
      <c r="D72" s="66" t="s">
        <v>55</v>
      </c>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row>
    <row r="73" spans="2:30" ht="6.75" customHeight="1">
      <c r="B73" s="93" t="s">
        <v>56</v>
      </c>
      <c r="C73" s="94"/>
      <c r="D73" s="94"/>
      <c r="E73" s="94"/>
      <c r="F73" s="94"/>
      <c r="G73" s="94"/>
      <c r="H73" s="94"/>
      <c r="I73" s="94"/>
      <c r="J73" s="95"/>
      <c r="K73" s="8"/>
      <c r="L73" s="9"/>
      <c r="M73" s="9"/>
      <c r="N73" s="9"/>
      <c r="O73" s="9"/>
      <c r="P73" s="9"/>
      <c r="Q73" s="9"/>
      <c r="R73" s="9"/>
      <c r="S73" s="9"/>
      <c r="T73" s="9"/>
      <c r="U73" s="9"/>
      <c r="V73" s="9"/>
      <c r="W73" s="9"/>
      <c r="X73" s="9"/>
      <c r="Y73" s="9"/>
      <c r="Z73" s="9"/>
      <c r="AA73" s="9"/>
      <c r="AB73" s="9"/>
      <c r="AC73" s="9"/>
      <c r="AD73" s="10"/>
    </row>
    <row r="74" spans="2:30" ht="20.25" customHeight="1">
      <c r="B74" s="96"/>
      <c r="C74" s="97"/>
      <c r="D74" s="97"/>
      <c r="E74" s="97"/>
      <c r="F74" s="97"/>
      <c r="G74" s="97"/>
      <c r="H74" s="97"/>
      <c r="I74" s="97"/>
      <c r="J74" s="98"/>
      <c r="K74" s="14"/>
      <c r="L74" s="122" t="s">
        <v>161</v>
      </c>
      <c r="M74" s="122"/>
      <c r="N74" s="122"/>
      <c r="O74" s="122"/>
      <c r="P74" s="122"/>
      <c r="Q74" s="122"/>
      <c r="R74" s="122"/>
      <c r="S74" s="122"/>
      <c r="T74" s="122"/>
      <c r="U74" s="122"/>
      <c r="V74" s="122"/>
      <c r="W74" s="122"/>
      <c r="X74" s="122"/>
      <c r="Y74" s="122"/>
      <c r="Z74" s="122"/>
      <c r="AA74" s="122"/>
      <c r="AB74" s="122"/>
      <c r="AC74" s="122"/>
      <c r="AD74" s="123"/>
    </row>
    <row r="75" spans="2:30" ht="20.25" customHeight="1">
      <c r="B75" s="96"/>
      <c r="C75" s="97"/>
      <c r="D75" s="97"/>
      <c r="E75" s="97"/>
      <c r="F75" s="97"/>
      <c r="G75" s="97"/>
      <c r="H75" s="97"/>
      <c r="I75" s="97"/>
      <c r="J75" s="98"/>
      <c r="K75" s="14"/>
      <c r="L75" s="122" t="s">
        <v>57</v>
      </c>
      <c r="M75" s="122"/>
      <c r="N75" s="122"/>
      <c r="O75" s="122"/>
      <c r="P75" s="122"/>
      <c r="Q75" s="122"/>
      <c r="R75" s="122"/>
      <c r="S75" s="122"/>
      <c r="T75" s="122"/>
      <c r="U75" s="122"/>
      <c r="V75" s="122"/>
      <c r="W75" s="122"/>
      <c r="X75" s="122"/>
      <c r="Y75" s="122"/>
      <c r="Z75" s="122"/>
      <c r="AA75" s="122"/>
      <c r="AB75" s="122"/>
      <c r="AC75" s="122"/>
      <c r="AD75" s="123"/>
    </row>
    <row r="76" spans="2:30" ht="20.25" customHeight="1">
      <c r="B76" s="96"/>
      <c r="C76" s="97"/>
      <c r="D76" s="97"/>
      <c r="E76" s="97"/>
      <c r="F76" s="97"/>
      <c r="G76" s="97"/>
      <c r="H76" s="97"/>
      <c r="I76" s="97"/>
      <c r="J76" s="98"/>
      <c r="K76" s="14"/>
      <c r="L76" s="122" t="s">
        <v>58</v>
      </c>
      <c r="M76" s="122"/>
      <c r="N76" s="122"/>
      <c r="O76" s="122"/>
      <c r="P76" s="122"/>
      <c r="Q76" s="122"/>
      <c r="R76" s="122"/>
      <c r="S76" s="122"/>
      <c r="T76" s="122"/>
      <c r="U76" s="122"/>
      <c r="V76" s="122"/>
      <c r="W76" s="122"/>
      <c r="X76" s="122"/>
      <c r="Y76" s="122"/>
      <c r="Z76" s="122"/>
      <c r="AA76" s="122"/>
      <c r="AB76" s="122"/>
      <c r="AC76" s="122"/>
      <c r="AD76" s="123"/>
    </row>
    <row r="77" spans="2:30" ht="13.5" customHeight="1">
      <c r="B77" s="99"/>
      <c r="C77" s="100"/>
      <c r="D77" s="100"/>
      <c r="E77" s="100"/>
      <c r="F77" s="100"/>
      <c r="G77" s="100"/>
      <c r="H77" s="100"/>
      <c r="I77" s="100"/>
      <c r="J77" s="101"/>
      <c r="K77" s="11"/>
      <c r="L77" s="12"/>
      <c r="M77" s="12"/>
      <c r="N77" s="12"/>
      <c r="O77" s="12"/>
      <c r="P77" s="12"/>
      <c r="Q77" s="12"/>
      <c r="R77" s="12"/>
      <c r="S77" s="12"/>
      <c r="T77" s="12"/>
      <c r="U77" s="12"/>
      <c r="V77" s="12"/>
      <c r="W77" s="12"/>
      <c r="X77" s="12"/>
      <c r="Y77" s="12"/>
      <c r="Z77" s="12"/>
      <c r="AA77" s="12"/>
      <c r="AB77" s="12"/>
      <c r="AC77" s="12"/>
      <c r="AD77" s="13"/>
    </row>
    <row r="78" spans="2:30" ht="18" customHeight="1"/>
    <row r="79" spans="2:30" ht="12" customHeight="1"/>
    <row r="80" spans="2:30" ht="20.25" customHeight="1">
      <c r="D80" s="66" t="s">
        <v>65</v>
      </c>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row>
    <row r="81" spans="2:30" ht="6.75" customHeight="1">
      <c r="B81" s="93" t="s">
        <v>66</v>
      </c>
      <c r="C81" s="94"/>
      <c r="D81" s="94"/>
      <c r="E81" s="94"/>
      <c r="F81" s="95"/>
      <c r="G81" s="8"/>
      <c r="H81" s="9"/>
      <c r="I81" s="9"/>
      <c r="J81" s="9"/>
      <c r="K81" s="9"/>
      <c r="L81" s="9"/>
      <c r="M81" s="9"/>
      <c r="N81" s="9"/>
      <c r="O81" s="9"/>
      <c r="P81" s="9"/>
      <c r="Q81" s="9"/>
      <c r="R81" s="9"/>
      <c r="S81" s="9"/>
      <c r="T81" s="9"/>
      <c r="U81" s="9"/>
      <c r="V81" s="9"/>
      <c r="W81" s="9"/>
      <c r="X81" s="9"/>
      <c r="Y81" s="9"/>
      <c r="Z81" s="9"/>
      <c r="AA81" s="9"/>
      <c r="AB81" s="9"/>
      <c r="AC81" s="10"/>
    </row>
    <row r="82" spans="2:30" ht="13.5" customHeight="1">
      <c r="B82" s="96"/>
      <c r="C82" s="97"/>
      <c r="D82" s="97"/>
      <c r="E82" s="97"/>
      <c r="F82" s="98"/>
      <c r="G82" s="14"/>
      <c r="H82" s="69" t="s">
        <v>67</v>
      </c>
      <c r="I82" s="69"/>
      <c r="J82" s="69"/>
      <c r="K82" s="69"/>
      <c r="L82" s="69"/>
      <c r="M82" s="69"/>
      <c r="N82" s="69"/>
      <c r="O82" s="69"/>
      <c r="P82" s="69"/>
      <c r="Q82" s="69"/>
      <c r="R82" s="69"/>
      <c r="S82" s="69"/>
      <c r="T82" s="69"/>
      <c r="U82" s="69"/>
      <c r="V82" s="69"/>
      <c r="W82" s="69"/>
      <c r="X82" s="69"/>
      <c r="Y82" s="69"/>
      <c r="Z82" s="69"/>
      <c r="AA82" s="69"/>
      <c r="AB82" s="69"/>
      <c r="AC82" s="15"/>
    </row>
    <row r="83" spans="2:30" ht="13.5" customHeight="1">
      <c r="B83" s="96"/>
      <c r="C83" s="97"/>
      <c r="D83" s="97"/>
      <c r="E83" s="97"/>
      <c r="F83" s="98"/>
      <c r="G83" s="14"/>
      <c r="H83" s="69" t="s">
        <v>68</v>
      </c>
      <c r="I83" s="69"/>
      <c r="J83" s="69"/>
      <c r="K83" s="69"/>
      <c r="L83" s="69"/>
      <c r="M83" s="69"/>
      <c r="N83" s="69"/>
      <c r="O83" s="69"/>
      <c r="P83" s="69"/>
      <c r="Q83" s="69"/>
      <c r="R83" s="69"/>
      <c r="S83" s="69"/>
      <c r="T83" s="69"/>
      <c r="U83" s="69"/>
      <c r="V83" s="69"/>
      <c r="W83" s="69"/>
      <c r="X83" s="69"/>
      <c r="Y83" s="69"/>
      <c r="Z83" s="69"/>
      <c r="AA83" s="69"/>
      <c r="AB83" s="69"/>
      <c r="AC83" s="15"/>
    </row>
    <row r="84" spans="2:30" ht="13.5" customHeight="1">
      <c r="B84" s="96"/>
      <c r="C84" s="97"/>
      <c r="D84" s="97"/>
      <c r="E84" s="97"/>
      <c r="F84" s="98"/>
      <c r="G84" s="14"/>
      <c r="H84" s="69" t="str">
        <f>_xlfn.IFS(SF_Data!F6="C-Livingネット","ＴＥＬ ： 0120-922-804　ＦＡＸ ： 0120-922-068",SF_Data!F6="mis-p","ＴＥＬ ： 0120-922-804　ＦＡＸ ： 0120-922-068",TRUE,"ＴＥＬ ： 0120-901-197　ＦＡＸ ： 0120-922-068")</f>
        <v>ＴＥＬ ： 0120-901-197　ＦＡＸ ： 0120-922-068</v>
      </c>
      <c r="I84" s="69"/>
      <c r="J84" s="69"/>
      <c r="K84" s="69"/>
      <c r="L84" s="69"/>
      <c r="M84" s="69"/>
      <c r="N84" s="69"/>
      <c r="O84" s="69"/>
      <c r="P84" s="69"/>
      <c r="Q84" s="69"/>
      <c r="R84" s="69"/>
      <c r="S84" s="69"/>
      <c r="T84" s="69"/>
      <c r="U84" s="69"/>
      <c r="V84" s="69"/>
      <c r="W84" s="69"/>
      <c r="X84" s="69"/>
      <c r="Y84" s="69"/>
      <c r="Z84" s="69"/>
      <c r="AA84" s="69"/>
      <c r="AB84" s="69"/>
      <c r="AC84" s="15"/>
    </row>
    <row r="85" spans="2:30" ht="13.5" customHeight="1">
      <c r="B85" s="96"/>
      <c r="C85" s="97"/>
      <c r="D85" s="97"/>
      <c r="E85" s="97"/>
      <c r="F85" s="98"/>
      <c r="G85" s="14"/>
      <c r="H85" s="69" t="str">
        <f>IF(SF_Data!X6=TRUE,"　　　24時間(365日)","平日)10:00～21:00　土日祝日)10:00～17:00")</f>
        <v>平日)10:00～21:00　土日祝日)10:00～17:00</v>
      </c>
      <c r="I85" s="69"/>
      <c r="J85" s="69"/>
      <c r="K85" s="69"/>
      <c r="L85" s="69"/>
      <c r="M85" s="69"/>
      <c r="N85" s="69"/>
      <c r="O85" s="69"/>
      <c r="P85" s="69"/>
      <c r="Q85" s="69"/>
      <c r="R85" s="69"/>
      <c r="S85" s="69"/>
      <c r="T85" s="69"/>
      <c r="U85" s="69"/>
      <c r="V85" s="69"/>
      <c r="W85" s="69"/>
      <c r="X85" s="69"/>
      <c r="Y85" s="69"/>
      <c r="Z85" s="69"/>
      <c r="AA85" s="69"/>
      <c r="AB85" s="69"/>
      <c r="AC85" s="15"/>
    </row>
    <row r="86" spans="2:30" ht="13.5" customHeight="1">
      <c r="B86" s="96"/>
      <c r="C86" s="97"/>
      <c r="D86" s="97"/>
      <c r="E86" s="97"/>
      <c r="F86" s="98"/>
      <c r="G86" s="14"/>
      <c r="H86" s="69" t="str">
        <f>"mail：support@"&amp;SF_Data!G6</f>
        <v>mail：support@</v>
      </c>
      <c r="I86" s="69"/>
      <c r="J86" s="69"/>
      <c r="K86" s="69"/>
      <c r="L86" s="69"/>
      <c r="M86" s="69"/>
      <c r="N86" s="69"/>
      <c r="O86" s="69"/>
      <c r="P86" s="69"/>
      <c r="Q86" s="69"/>
      <c r="R86" s="69"/>
      <c r="S86" s="69"/>
      <c r="T86" s="69"/>
      <c r="U86" s="69"/>
      <c r="V86" s="69"/>
      <c r="W86" s="69"/>
      <c r="X86" s="69"/>
      <c r="Y86" s="69"/>
      <c r="Z86" s="69"/>
      <c r="AA86" s="69"/>
      <c r="AB86" s="69"/>
      <c r="AC86" s="15"/>
    </row>
    <row r="87" spans="2:30" ht="6.75" customHeight="1">
      <c r="B87" s="99"/>
      <c r="C87" s="100"/>
      <c r="D87" s="100"/>
      <c r="E87" s="100"/>
      <c r="F87" s="101"/>
      <c r="G87" s="11"/>
      <c r="H87" s="12"/>
      <c r="I87" s="12"/>
      <c r="J87" s="12"/>
      <c r="K87" s="12"/>
      <c r="L87" s="12"/>
      <c r="M87" s="12"/>
      <c r="N87" s="12"/>
      <c r="O87" s="12"/>
      <c r="P87" s="12"/>
      <c r="Q87" s="12"/>
      <c r="R87" s="12"/>
      <c r="S87" s="12"/>
      <c r="T87" s="12"/>
      <c r="U87" s="12"/>
      <c r="V87" s="12"/>
      <c r="W87" s="12"/>
      <c r="X87" s="12"/>
      <c r="Y87" s="12"/>
      <c r="Z87" s="12"/>
      <c r="AA87" s="12"/>
      <c r="AB87" s="12"/>
      <c r="AC87" s="13"/>
    </row>
    <row r="88" spans="2:30" ht="6" customHeight="1">
      <c r="B88" s="8"/>
      <c r="C88" s="9"/>
      <c r="D88" s="9"/>
      <c r="E88" s="9"/>
      <c r="F88" s="9"/>
      <c r="G88" s="9"/>
      <c r="H88" s="9"/>
      <c r="I88" s="9"/>
      <c r="J88" s="9"/>
      <c r="K88" s="9"/>
      <c r="L88" s="9"/>
      <c r="M88" s="9"/>
      <c r="N88" s="9"/>
      <c r="O88" s="9"/>
      <c r="P88" s="9"/>
      <c r="Q88" s="9"/>
      <c r="R88" s="9"/>
      <c r="S88" s="9"/>
      <c r="T88" s="9"/>
      <c r="U88" s="9"/>
      <c r="V88" s="9"/>
      <c r="W88" s="9"/>
      <c r="X88" s="9"/>
      <c r="Y88" s="9"/>
      <c r="Z88" s="9"/>
      <c r="AA88" s="9"/>
      <c r="AB88" s="9"/>
      <c r="AC88" s="10"/>
    </row>
    <row r="89" spans="2:30" ht="13.5" customHeight="1">
      <c r="B89" s="14"/>
      <c r="C89" s="187" t="s">
        <v>260</v>
      </c>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5"/>
    </row>
    <row r="90" spans="2:30" ht="13.5" customHeight="1">
      <c r="B90" s="11"/>
      <c r="C90" s="65" t="s">
        <v>69</v>
      </c>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13"/>
    </row>
    <row r="91" spans="2:30" ht="18" customHeight="1"/>
    <row r="92" spans="2:30" ht="20.25" customHeight="1">
      <c r="D92" s="66" t="s">
        <v>70</v>
      </c>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row>
    <row r="93" spans="2:30" ht="13.5" customHeight="1">
      <c r="B93" s="17"/>
      <c r="C93" s="67" t="s">
        <v>71</v>
      </c>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18"/>
    </row>
    <row r="94" spans="2:30" ht="13.5" customHeight="1">
      <c r="B94" s="14"/>
      <c r="C94" s="75" t="s">
        <v>163</v>
      </c>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18"/>
    </row>
    <row r="95" spans="2:30" ht="13.5" customHeight="1">
      <c r="B95" s="14"/>
      <c r="C95" s="186" t="s">
        <v>160</v>
      </c>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186"/>
      <c r="AC95" s="186"/>
      <c r="AD95" s="18"/>
    </row>
    <row r="96" spans="2:30" ht="13.5" customHeight="1">
      <c r="B96" s="14"/>
      <c r="C96" s="75" t="s">
        <v>164</v>
      </c>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18"/>
    </row>
    <row r="97" spans="2:30" ht="13.5" customHeight="1">
      <c r="B97" s="14"/>
      <c r="C97" s="186" t="s">
        <v>72</v>
      </c>
      <c r="D97" s="186"/>
      <c r="E97" s="186"/>
      <c r="F97" s="186"/>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
    </row>
    <row r="98" spans="2:30" ht="13.5" customHeight="1">
      <c r="B98" s="14"/>
      <c r="C98" s="186" t="s">
        <v>73</v>
      </c>
      <c r="D98" s="186"/>
      <c r="E98" s="186"/>
      <c r="F98" s="186"/>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
    </row>
    <row r="99" spans="2:30" ht="13.5" customHeight="1">
      <c r="B99" s="14"/>
      <c r="C99" s="75" t="s">
        <v>165</v>
      </c>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18"/>
    </row>
    <row r="100" spans="2:30" ht="13.5" customHeight="1">
      <c r="B100" s="11"/>
      <c r="C100" s="80" t="s">
        <v>166</v>
      </c>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18"/>
    </row>
    <row r="101" spans="2:30" ht="48" customHeight="1"/>
    <row r="102" spans="2:30" ht="13.2"/>
    <row r="103" spans="2:30" ht="11.25" customHeight="1"/>
    <row r="104" spans="2:30" ht="5.25" customHeight="1"/>
  </sheetData>
  <mergeCells count="125">
    <mergeCell ref="C95:AC95"/>
    <mergeCell ref="C96:AC96"/>
    <mergeCell ref="C97:AC97"/>
    <mergeCell ref="C98:AC98"/>
    <mergeCell ref="C99:AC99"/>
    <mergeCell ref="C100:AC100"/>
    <mergeCell ref="H86:AB86"/>
    <mergeCell ref="C89:AB89"/>
    <mergeCell ref="C90:AB90"/>
    <mergeCell ref="D92:AD92"/>
    <mergeCell ref="C93:AC93"/>
    <mergeCell ref="C94:AC94"/>
    <mergeCell ref="D80:AD80"/>
    <mergeCell ref="B81:F87"/>
    <mergeCell ref="H82:AB82"/>
    <mergeCell ref="H83:AB83"/>
    <mergeCell ref="H84:AB84"/>
    <mergeCell ref="H85:AB85"/>
    <mergeCell ref="B73:J77"/>
    <mergeCell ref="L74:AD74"/>
    <mergeCell ref="L75:AD75"/>
    <mergeCell ref="L76:AD76"/>
    <mergeCell ref="B66:AD66"/>
    <mergeCell ref="B67:AD67"/>
    <mergeCell ref="B68:AD68"/>
    <mergeCell ref="B69:AD69"/>
    <mergeCell ref="B70:AD70"/>
    <mergeCell ref="D72:AD72"/>
    <mergeCell ref="D61:AD61"/>
    <mergeCell ref="B62:J62"/>
    <mergeCell ref="K62:AD62"/>
    <mergeCell ref="B63:J63"/>
    <mergeCell ref="K63:AD63"/>
    <mergeCell ref="B64:J64"/>
    <mergeCell ref="K64:AD64"/>
    <mergeCell ref="D53:AD53"/>
    <mergeCell ref="B54:J54"/>
    <mergeCell ref="K54:AD54"/>
    <mergeCell ref="B55:J55"/>
    <mergeCell ref="K55:AD55"/>
    <mergeCell ref="B56:J56"/>
    <mergeCell ref="K56:AD56"/>
    <mergeCell ref="B48:J49"/>
    <mergeCell ref="K48:S49"/>
    <mergeCell ref="T48:AD49"/>
    <mergeCell ref="B50:J50"/>
    <mergeCell ref="K50:AD50"/>
    <mergeCell ref="B51:J51"/>
    <mergeCell ref="K51:AD51"/>
    <mergeCell ref="B46:J47"/>
    <mergeCell ref="K46:S47"/>
    <mergeCell ref="T46:AD47"/>
    <mergeCell ref="B38:J39"/>
    <mergeCell ref="K38:AD39"/>
    <mergeCell ref="D41:AD41"/>
    <mergeCell ref="B42:J42"/>
    <mergeCell ref="K42:AD42"/>
    <mergeCell ref="B43:J43"/>
    <mergeCell ref="K43:AD43"/>
    <mergeCell ref="AA36:AD37"/>
    <mergeCell ref="B44:J45"/>
    <mergeCell ref="K44:S45"/>
    <mergeCell ref="T44:AD45"/>
    <mergeCell ref="B34:J37"/>
    <mergeCell ref="K34:M34"/>
    <mergeCell ref="N34:O34"/>
    <mergeCell ref="P34:Q34"/>
    <mergeCell ref="S34:T34"/>
    <mergeCell ref="U34:W34"/>
    <mergeCell ref="B31:J33"/>
    <mergeCell ref="K31:M31"/>
    <mergeCell ref="N31:O31"/>
    <mergeCell ref="P31:Q31"/>
    <mergeCell ref="S31:T31"/>
    <mergeCell ref="U31:W31"/>
    <mergeCell ref="X34:Z34"/>
    <mergeCell ref="AA34:AD34"/>
    <mergeCell ref="K36:M37"/>
    <mergeCell ref="X31:Z31"/>
    <mergeCell ref="AA31:AD31"/>
    <mergeCell ref="K33:M33"/>
    <mergeCell ref="N33:O33"/>
    <mergeCell ref="P33:Q33"/>
    <mergeCell ref="S33:T33"/>
    <mergeCell ref="U33:W33"/>
    <mergeCell ref="X33:Z33"/>
    <mergeCell ref="AA33:AD33"/>
    <mergeCell ref="N36:O37"/>
    <mergeCell ref="P36:Q37"/>
    <mergeCell ref="R36:R37"/>
    <mergeCell ref="S36:T37"/>
    <mergeCell ref="U36:W37"/>
    <mergeCell ref="X36:Z37"/>
    <mergeCell ref="B28:J28"/>
    <mergeCell ref="K28:AD28"/>
    <mergeCell ref="B29:J30"/>
    <mergeCell ref="K29:R29"/>
    <mergeCell ref="S29:AD29"/>
    <mergeCell ref="K30:R30"/>
    <mergeCell ref="S30:AD30"/>
    <mergeCell ref="E23:AD23"/>
    <mergeCell ref="B25:J25"/>
    <mergeCell ref="K25:AD25"/>
    <mergeCell ref="B26:J26"/>
    <mergeCell ref="K26:AD26"/>
    <mergeCell ref="B27:J27"/>
    <mergeCell ref="K27:AD27"/>
    <mergeCell ref="C19:AE19"/>
    <mergeCell ref="C20:AE20"/>
    <mergeCell ref="E22:AA22"/>
    <mergeCell ref="D9:G9"/>
    <mergeCell ref="R9:AG9"/>
    <mergeCell ref="D10:H11"/>
    <mergeCell ref="R11:AG12"/>
    <mergeCell ref="C13:H13"/>
    <mergeCell ref="R13:AG13"/>
    <mergeCell ref="W2:AF2"/>
    <mergeCell ref="D3:F4"/>
    <mergeCell ref="G3:H4"/>
    <mergeCell ref="J4:N5"/>
    <mergeCell ref="D5:I6"/>
    <mergeCell ref="D7:I8"/>
    <mergeCell ref="R14:AG14"/>
    <mergeCell ref="A16:AH16"/>
    <mergeCell ref="A17:AH17"/>
  </mergeCells>
  <phoneticPr fontId="10"/>
  <pageMargins left="0.23622047244094491" right="0.23622047244094491" top="0.23622047244094491" bottom="0.23622047244094491" header="0.31496062992125984" footer="0.31496062992125984"/>
  <pageSetup paperSize="9" scale="93" orientation="portrait" r:id="rId1"/>
  <extLst>
    <ext xmlns:x14="http://schemas.microsoft.com/office/spreadsheetml/2009/9/main" uri="{78C0D931-6437-407d-A8EE-F0AAD7539E65}">
      <x14:conditionalFormattings>
        <x14:conditionalFormatting xmlns:xm="http://schemas.microsoft.com/office/excel/2006/main">
          <x14:cfRule type="expression" priority="1" id="{6C950F92-616F-418A-B840-4E8FE3108859}">
            <xm:f>SF_Data!$AA$2="-"</xm:f>
            <x14:dxf>
              <fill>
                <patternFill>
                  <bgColor theme="0"/>
                </patternFill>
              </fill>
              <border>
                <left/>
                <right/>
                <top/>
                <bottom/>
                <vertical/>
                <horizontal/>
              </border>
            </x14:dxf>
          </x14:cfRule>
          <xm:sqref>B54:AD56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6CF13-2C64-46CA-B710-47D73F228B24}">
  <sheetPr codeName="Sheet8"/>
  <dimension ref="A1:AL104"/>
  <sheetViews>
    <sheetView workbookViewId="0"/>
  </sheetViews>
  <sheetFormatPr defaultColWidth="6.88671875" defaultRowHeight="12.75" customHeight="1"/>
  <cols>
    <col min="1" max="1" width="8" customWidth="1"/>
    <col min="2" max="2" width="1.109375" customWidth="1"/>
    <col min="3" max="3" width="2.33203125" customWidth="1"/>
    <col min="4" max="5" width="3.44140625" customWidth="1"/>
    <col min="6" max="6" width="8" customWidth="1"/>
    <col min="7" max="7" width="1.109375" customWidth="1"/>
    <col min="8" max="8" width="18.33203125" customWidth="1"/>
    <col min="9" max="10" width="1.109375" customWidth="1"/>
    <col min="11" max="11" width="2.33203125" customWidth="1"/>
    <col min="12" max="12" width="3.44140625" customWidth="1"/>
    <col min="13" max="14" width="1.109375" customWidth="1"/>
    <col min="15" max="15" width="5.6640625" customWidth="1"/>
    <col min="16" max="16" width="3.5546875" customWidth="1"/>
    <col min="17" max="17" width="3.44140625" customWidth="1"/>
    <col min="19" max="19" width="4.5546875" customWidth="1"/>
    <col min="20" max="20" width="2.33203125" customWidth="1"/>
    <col min="21" max="21" width="1.109375" customWidth="1"/>
    <col min="22" max="22" width="4.5546875" customWidth="1"/>
    <col min="23" max="23" width="1.109375" customWidth="1"/>
    <col min="24" max="24" width="1.5546875" customWidth="1"/>
    <col min="25" max="25" width="3.33203125" customWidth="1"/>
    <col min="26" max="26" width="2" customWidth="1"/>
    <col min="27" max="27" width="1.109375" customWidth="1"/>
    <col min="28" max="28" width="3.44140625" customWidth="1"/>
    <col min="29" max="29" width="1.109375" customWidth="1"/>
    <col min="30" max="30" width="1" customWidth="1"/>
    <col min="31" max="31" width="1.33203125" customWidth="1"/>
    <col min="32" max="33" width="1.109375" customWidth="1"/>
    <col min="34" max="34" width="1.44140625" customWidth="1"/>
  </cols>
  <sheetData>
    <row r="1" spans="1:38" ht="6" customHeight="1"/>
    <row r="2" spans="1:38" ht="13.5" customHeight="1">
      <c r="W2" s="160">
        <f>SF_Data!J6</f>
        <v>0</v>
      </c>
      <c r="X2" s="160"/>
      <c r="Y2" s="160"/>
      <c r="Z2" s="160"/>
      <c r="AA2" s="160"/>
      <c r="AB2" s="160"/>
      <c r="AC2" s="160"/>
      <c r="AD2" s="160"/>
      <c r="AE2" s="160"/>
      <c r="AF2" s="160"/>
    </row>
    <row r="3" spans="1:38" ht="6.75" customHeight="1">
      <c r="C3" s="24"/>
      <c r="D3" s="164">
        <f>SF_Data!L6</f>
        <v>0</v>
      </c>
      <c r="E3" s="164"/>
      <c r="F3" s="164"/>
      <c r="G3" s="131" t="s">
        <v>167</v>
      </c>
      <c r="H3" s="131"/>
    </row>
    <row r="4" spans="1:38" ht="6.75" customHeight="1">
      <c r="C4" s="24"/>
      <c r="D4" s="164"/>
      <c r="E4" s="164"/>
      <c r="F4" s="164"/>
      <c r="G4" s="131"/>
      <c r="H4" s="131"/>
      <c r="J4" s="131"/>
      <c r="K4" s="131"/>
      <c r="L4" s="131"/>
      <c r="M4" s="131"/>
      <c r="N4" s="131"/>
    </row>
    <row r="5" spans="1:38" ht="6.75" customHeight="1">
      <c r="C5" s="24"/>
      <c r="D5" s="169">
        <f>SF_Data!M6</f>
        <v>0</v>
      </c>
      <c r="E5" s="169"/>
      <c r="F5" s="169"/>
      <c r="G5" s="169"/>
      <c r="H5" s="169"/>
      <c r="I5" s="169"/>
      <c r="J5" s="131"/>
      <c r="K5" s="131"/>
      <c r="L5" s="131"/>
      <c r="M5" s="131"/>
      <c r="N5" s="131"/>
    </row>
    <row r="6" spans="1:38" ht="6.75" customHeight="1">
      <c r="C6" s="24"/>
      <c r="D6" s="169"/>
      <c r="E6" s="169"/>
      <c r="F6" s="169"/>
      <c r="G6" s="169"/>
      <c r="H6" s="169"/>
      <c r="I6" s="169"/>
    </row>
    <row r="7" spans="1:38" ht="7.5" customHeight="1">
      <c r="C7" s="24"/>
      <c r="D7" s="169">
        <f>SF_Data!K6</f>
        <v>0</v>
      </c>
      <c r="E7" s="169"/>
      <c r="F7" s="169"/>
      <c r="G7" s="169"/>
      <c r="H7" s="169"/>
      <c r="I7" s="169"/>
      <c r="J7" s="24"/>
      <c r="K7" s="24"/>
    </row>
    <row r="8" spans="1:38" ht="6" customHeight="1">
      <c r="C8" s="24"/>
      <c r="D8" s="169"/>
      <c r="E8" s="169"/>
      <c r="F8" s="169"/>
      <c r="G8" s="169"/>
      <c r="H8" s="169"/>
      <c r="I8" s="169"/>
      <c r="J8" s="24"/>
      <c r="K8" s="24"/>
    </row>
    <row r="9" spans="1:38" ht="13.5" customHeight="1">
      <c r="C9" s="24"/>
      <c r="D9" s="169" t="str">
        <f>SF_Data!N6&amp;"　号室"</f>
        <v>　号室</v>
      </c>
      <c r="E9" s="169"/>
      <c r="F9" s="169"/>
      <c r="G9" s="169"/>
      <c r="H9" s="22"/>
      <c r="I9" s="22"/>
      <c r="J9" s="22"/>
      <c r="K9" s="22"/>
      <c r="L9" s="23"/>
      <c r="R9" s="122">
        <f>SF_Data!F6</f>
        <v>0</v>
      </c>
      <c r="S9" s="122"/>
      <c r="T9" s="122"/>
      <c r="U9" s="122"/>
      <c r="V9" s="122"/>
      <c r="W9" s="122"/>
      <c r="X9" s="122"/>
      <c r="Y9" s="122"/>
      <c r="Z9" s="122"/>
      <c r="AA9" s="122"/>
      <c r="AB9" s="122"/>
      <c r="AC9" s="122"/>
      <c r="AD9" s="122"/>
      <c r="AE9" s="122"/>
      <c r="AF9" s="122"/>
      <c r="AG9" s="122"/>
    </row>
    <row r="10" spans="1:38" ht="6.75" customHeight="1">
      <c r="C10" s="24"/>
      <c r="D10" s="169" t="str">
        <f>SF_Data!A6&amp;"　様"</f>
        <v>　様</v>
      </c>
      <c r="E10" s="169"/>
      <c r="F10" s="169"/>
      <c r="G10" s="169"/>
      <c r="H10" s="169"/>
      <c r="I10" s="24"/>
      <c r="J10" s="24"/>
      <c r="K10" s="24"/>
      <c r="L10" s="23"/>
    </row>
    <row r="11" spans="1:38" ht="6" customHeight="1">
      <c r="C11" s="24"/>
      <c r="D11" s="169"/>
      <c r="E11" s="169"/>
      <c r="F11" s="169"/>
      <c r="G11" s="169"/>
      <c r="H11" s="169"/>
      <c r="I11" s="24"/>
      <c r="J11" s="24"/>
      <c r="K11" s="24"/>
      <c r="L11" s="23"/>
      <c r="R11" s="75" t="s">
        <v>191</v>
      </c>
      <c r="S11" s="75"/>
      <c r="T11" s="75"/>
      <c r="U11" s="75"/>
      <c r="V11" s="75"/>
      <c r="W11" s="75"/>
      <c r="X11" s="75"/>
      <c r="Y11" s="75"/>
      <c r="Z11" s="75"/>
      <c r="AA11" s="75"/>
      <c r="AB11" s="75"/>
      <c r="AC11" s="75"/>
      <c r="AD11" s="75"/>
      <c r="AE11" s="75"/>
      <c r="AF11" s="75"/>
      <c r="AG11" s="75"/>
    </row>
    <row r="12" spans="1:38" ht="9" customHeight="1">
      <c r="R12" s="75"/>
      <c r="S12" s="75"/>
      <c r="T12" s="75"/>
      <c r="U12" s="75"/>
      <c r="V12" s="75"/>
      <c r="W12" s="75"/>
      <c r="X12" s="75"/>
      <c r="Y12" s="75"/>
      <c r="Z12" s="75"/>
      <c r="AA12" s="75"/>
      <c r="AB12" s="75"/>
      <c r="AC12" s="75"/>
      <c r="AD12" s="75"/>
      <c r="AE12" s="75"/>
      <c r="AF12" s="75"/>
      <c r="AG12" s="75"/>
    </row>
    <row r="13" spans="1:38" ht="13.5" customHeight="1">
      <c r="C13" s="180" t="str">
        <f>SF_Data!F6&amp;"ご利用通知"</f>
        <v>ご利用通知</v>
      </c>
      <c r="D13" s="181"/>
      <c r="E13" s="181"/>
      <c r="F13" s="181"/>
      <c r="G13" s="181"/>
      <c r="H13" s="182"/>
      <c r="I13" s="25"/>
      <c r="J13" s="26"/>
      <c r="K13" s="26"/>
      <c r="L13" s="26"/>
      <c r="R13" s="75" t="s">
        <v>192</v>
      </c>
      <c r="S13" s="75"/>
      <c r="T13" s="75"/>
      <c r="U13" s="75"/>
      <c r="V13" s="75"/>
      <c r="W13" s="75"/>
      <c r="X13" s="75"/>
      <c r="Y13" s="75"/>
      <c r="Z13" s="75"/>
      <c r="AA13" s="75"/>
      <c r="AB13" s="75"/>
      <c r="AC13" s="75"/>
      <c r="AD13" s="75"/>
      <c r="AE13" s="75"/>
      <c r="AF13" s="75"/>
      <c r="AG13" s="75"/>
    </row>
    <row r="14" spans="1:38" ht="11.25" customHeight="1">
      <c r="R14" s="170" t="str">
        <f>"mail ： support@"&amp; SF_Data!G6</f>
        <v>mail ： support@</v>
      </c>
      <c r="S14" s="170"/>
      <c r="T14" s="170"/>
      <c r="U14" s="170"/>
      <c r="V14" s="170"/>
      <c r="W14" s="170"/>
      <c r="X14" s="170"/>
      <c r="Y14" s="170"/>
      <c r="Z14" s="170"/>
      <c r="AA14" s="170"/>
      <c r="AB14" s="170"/>
      <c r="AC14" s="170"/>
      <c r="AD14" s="170"/>
      <c r="AE14" s="170"/>
      <c r="AF14" s="170"/>
      <c r="AG14" s="170"/>
      <c r="AJ14" s="28" t="s">
        <v>179</v>
      </c>
    </row>
    <row r="15" spans="1:38" ht="39" customHeight="1">
      <c r="AJ15" s="29">
        <f>SF_Data!W6</f>
        <v>0</v>
      </c>
      <c r="AK15" s="30"/>
      <c r="AL15" s="30"/>
    </row>
    <row r="16" spans="1:38" ht="36.75" customHeight="1">
      <c r="A16" s="172" t="str">
        <f>SF_Data!F6&amp; "　サービスご利用通知"</f>
        <v>　サービスご利用通知</v>
      </c>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row>
    <row r="17" spans="1:37" ht="13.2" customHeight="1">
      <c r="A17" s="166"/>
      <c r="B17" s="166"/>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row>
    <row r="18" spans="1:37" ht="9" customHeight="1"/>
    <row r="19" spans="1:37" ht="20.25" customHeight="1">
      <c r="C19" s="122" t="s">
        <v>23</v>
      </c>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K19" s="1"/>
    </row>
    <row r="20" spans="1:37" ht="20.25" customHeight="1">
      <c r="C20" s="122" t="s">
        <v>24</v>
      </c>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K20" s="2"/>
    </row>
    <row r="21" spans="1:37" ht="10.199999999999999" customHeight="1">
      <c r="AK21" s="2"/>
    </row>
    <row r="22" spans="1:37" ht="20.25" customHeight="1">
      <c r="E22" s="179" t="s">
        <v>25</v>
      </c>
      <c r="F22" s="179"/>
      <c r="G22" s="179"/>
      <c r="H22" s="179"/>
      <c r="I22" s="179"/>
      <c r="J22" s="179"/>
      <c r="K22" s="179"/>
      <c r="L22" s="179"/>
      <c r="M22" s="179"/>
      <c r="N22" s="179"/>
      <c r="O22" s="179"/>
      <c r="P22" s="179"/>
      <c r="Q22" s="179"/>
      <c r="R22" s="179"/>
      <c r="S22" s="179"/>
      <c r="T22" s="179"/>
      <c r="U22" s="179"/>
      <c r="V22" s="179"/>
      <c r="W22" s="179"/>
      <c r="X22" s="179"/>
      <c r="Y22" s="179"/>
      <c r="Z22" s="179"/>
      <c r="AA22" s="179"/>
    </row>
    <row r="23" spans="1:37" ht="11.25" customHeight="1">
      <c r="E23" s="179" t="s">
        <v>26</v>
      </c>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row>
    <row r="24" spans="1:37" ht="20.25" customHeight="1"/>
    <row r="25" spans="1:37" ht="27" customHeight="1">
      <c r="B25" s="129" t="s">
        <v>27</v>
      </c>
      <c r="C25" s="129"/>
      <c r="D25" s="129"/>
      <c r="E25" s="129"/>
      <c r="F25" s="129"/>
      <c r="G25" s="129"/>
      <c r="H25" s="129"/>
      <c r="I25" s="129"/>
      <c r="J25" s="129"/>
      <c r="K25" s="165" t="str">
        <f>SF_Data!A6&amp; "　様"</f>
        <v>　様</v>
      </c>
      <c r="L25" s="165"/>
      <c r="M25" s="165"/>
      <c r="N25" s="165"/>
      <c r="O25" s="165"/>
      <c r="P25" s="165"/>
      <c r="Q25" s="165"/>
      <c r="R25" s="165"/>
      <c r="S25" s="165"/>
      <c r="T25" s="165"/>
      <c r="U25" s="165"/>
      <c r="V25" s="165"/>
      <c r="W25" s="165"/>
      <c r="X25" s="165"/>
      <c r="Y25" s="165"/>
      <c r="Z25" s="165"/>
      <c r="AA25" s="165"/>
      <c r="AB25" s="165"/>
      <c r="AC25" s="165"/>
      <c r="AD25" s="165"/>
    </row>
    <row r="26" spans="1:37" ht="27" customHeight="1">
      <c r="B26" s="129" t="s">
        <v>22</v>
      </c>
      <c r="C26" s="129"/>
      <c r="D26" s="129"/>
      <c r="E26" s="129"/>
      <c r="F26" s="129"/>
      <c r="G26" s="129"/>
      <c r="H26" s="129"/>
      <c r="I26" s="129"/>
      <c r="J26" s="129"/>
      <c r="K26" s="165">
        <f>SF_Data!K6</f>
        <v>0</v>
      </c>
      <c r="L26" s="165"/>
      <c r="M26" s="165"/>
      <c r="N26" s="165"/>
      <c r="O26" s="165"/>
      <c r="P26" s="165"/>
      <c r="Q26" s="165"/>
      <c r="R26" s="165"/>
      <c r="S26" s="165"/>
      <c r="T26" s="165"/>
      <c r="U26" s="165"/>
      <c r="V26" s="165"/>
      <c r="W26" s="165"/>
      <c r="X26" s="165"/>
      <c r="Y26" s="165"/>
      <c r="Z26" s="165"/>
      <c r="AA26" s="165"/>
      <c r="AB26" s="165"/>
      <c r="AC26" s="165"/>
      <c r="AD26" s="165"/>
      <c r="AJ26" s="37"/>
    </row>
    <row r="27" spans="1:37" ht="27" customHeight="1">
      <c r="B27" s="129" t="s">
        <v>28</v>
      </c>
      <c r="C27" s="129"/>
      <c r="D27" s="129"/>
      <c r="E27" s="129"/>
      <c r="F27" s="129"/>
      <c r="G27" s="129"/>
      <c r="H27" s="129"/>
      <c r="I27" s="129"/>
      <c r="J27" s="129"/>
      <c r="K27" s="173" t="str">
        <f>SF_Data!N6&amp;"　号室"</f>
        <v>　号室</v>
      </c>
      <c r="L27" s="174"/>
      <c r="M27" s="174"/>
      <c r="N27" s="174"/>
      <c r="O27" s="174"/>
      <c r="P27" s="174"/>
      <c r="Q27" s="174"/>
      <c r="R27" s="174"/>
      <c r="S27" s="174"/>
      <c r="T27" s="174"/>
      <c r="U27" s="174"/>
      <c r="V27" s="174"/>
      <c r="W27" s="174"/>
      <c r="X27" s="174"/>
      <c r="Y27" s="174"/>
      <c r="Z27" s="174"/>
      <c r="AA27" s="174"/>
      <c r="AB27" s="174"/>
      <c r="AC27" s="174"/>
      <c r="AD27" s="175"/>
    </row>
    <row r="28" spans="1:37" ht="27" customHeight="1">
      <c r="B28" s="129" t="s">
        <v>29</v>
      </c>
      <c r="C28" s="129"/>
      <c r="D28" s="129"/>
      <c r="E28" s="129"/>
      <c r="F28" s="129"/>
      <c r="G28" s="129"/>
      <c r="H28" s="129"/>
      <c r="I28" s="129"/>
      <c r="J28" s="129"/>
      <c r="K28" s="173">
        <f>SF_Data!M6</f>
        <v>0</v>
      </c>
      <c r="L28" s="174"/>
      <c r="M28" s="174"/>
      <c r="N28" s="174"/>
      <c r="O28" s="174"/>
      <c r="P28" s="174"/>
      <c r="Q28" s="174"/>
      <c r="R28" s="174"/>
      <c r="S28" s="174"/>
      <c r="T28" s="174"/>
      <c r="U28" s="174"/>
      <c r="V28" s="174"/>
      <c r="W28" s="174"/>
      <c r="X28" s="174"/>
      <c r="Y28" s="174"/>
      <c r="Z28" s="174"/>
      <c r="AA28" s="174"/>
      <c r="AB28" s="174"/>
      <c r="AC28" s="174"/>
      <c r="AD28" s="175"/>
    </row>
    <row r="29" spans="1:37" ht="20.25" customHeight="1">
      <c r="B29" s="129" t="s">
        <v>30</v>
      </c>
      <c r="C29" s="129"/>
      <c r="D29" s="129"/>
      <c r="E29" s="129"/>
      <c r="F29" s="129"/>
      <c r="G29" s="129"/>
      <c r="H29" s="129"/>
      <c r="I29" s="129"/>
      <c r="J29" s="129"/>
      <c r="K29" s="176" t="s">
        <v>31</v>
      </c>
      <c r="L29" s="176"/>
      <c r="M29" s="176"/>
      <c r="N29" s="176"/>
      <c r="O29" s="176"/>
      <c r="P29" s="176"/>
      <c r="Q29" s="176"/>
      <c r="R29" s="176"/>
      <c r="S29" s="176" t="s">
        <v>32</v>
      </c>
      <c r="T29" s="176"/>
      <c r="U29" s="176"/>
      <c r="V29" s="176"/>
      <c r="W29" s="176"/>
      <c r="X29" s="176"/>
      <c r="Y29" s="176"/>
      <c r="Z29" s="176"/>
      <c r="AA29" s="176"/>
      <c r="AB29" s="176"/>
      <c r="AC29" s="176"/>
      <c r="AD29" s="176"/>
    </row>
    <row r="30" spans="1:37" ht="20.25" customHeight="1">
      <c r="B30" s="129"/>
      <c r="C30" s="129"/>
      <c r="D30" s="129"/>
      <c r="E30" s="129"/>
      <c r="F30" s="129"/>
      <c r="G30" s="129"/>
      <c r="H30" s="129"/>
      <c r="I30" s="129"/>
      <c r="J30" s="129"/>
      <c r="K30" s="165">
        <f>SF_Data!B6</f>
        <v>0</v>
      </c>
      <c r="L30" s="165"/>
      <c r="M30" s="165"/>
      <c r="N30" s="165"/>
      <c r="O30" s="165"/>
      <c r="P30" s="165"/>
      <c r="Q30" s="165"/>
      <c r="R30" s="165"/>
      <c r="S30" s="165">
        <f>SF_Data!C6</f>
        <v>0</v>
      </c>
      <c r="T30" s="165"/>
      <c r="U30" s="165"/>
      <c r="V30" s="165"/>
      <c r="W30" s="165"/>
      <c r="X30" s="165"/>
      <c r="Y30" s="165"/>
      <c r="Z30" s="165"/>
      <c r="AA30" s="165"/>
      <c r="AB30" s="165"/>
      <c r="AC30" s="165"/>
      <c r="AD30" s="165"/>
    </row>
    <row r="31" spans="1:37" ht="13.5" customHeight="1">
      <c r="B31" s="129" t="s">
        <v>33</v>
      </c>
      <c r="C31" s="129"/>
      <c r="D31" s="129"/>
      <c r="E31" s="129"/>
      <c r="F31" s="129"/>
      <c r="G31" s="129"/>
      <c r="H31" s="129"/>
      <c r="I31" s="129"/>
      <c r="J31" s="129"/>
      <c r="K31" s="152" t="str">
        <f>IF(K33="","",VLOOKUP(K33,カナ!A:B,2))</f>
        <v/>
      </c>
      <c r="L31" s="153"/>
      <c r="M31" s="154"/>
      <c r="N31" s="152" t="str">
        <f>IF(N33="","",VLOOKUP(N33,カナ!A:B,2))</f>
        <v/>
      </c>
      <c r="O31" s="154"/>
      <c r="P31" s="152" t="str">
        <f>IF(P33="","",VLOOKUP(P33,カナ!A:B,2))</f>
        <v/>
      </c>
      <c r="Q31" s="154"/>
      <c r="R31" s="20" t="str">
        <f>IF(R33="","",VLOOKUP(R33,カナ!A:B,2))</f>
        <v/>
      </c>
      <c r="S31" s="152" t="str">
        <f>IF(S33="","",VLOOKUP(S33,カナ!A:B,2))</f>
        <v/>
      </c>
      <c r="T31" s="154"/>
      <c r="U31" s="152" t="str">
        <f>IF(U33="","",VLOOKUP(U33,カナ!A:B,2))</f>
        <v/>
      </c>
      <c r="V31" s="153"/>
      <c r="W31" s="154"/>
      <c r="X31" s="152" t="str">
        <f>IF(X33="","",VLOOKUP(X33,カナ!A:B,2))</f>
        <v/>
      </c>
      <c r="Y31" s="153"/>
      <c r="Z31" s="154"/>
      <c r="AA31" s="177" t="str">
        <f>IF(AA33="","",VLOOKUP(AA33,カナ!A:B,2))</f>
        <v/>
      </c>
      <c r="AB31" s="177"/>
      <c r="AC31" s="177"/>
      <c r="AD31" s="178"/>
      <c r="AI31" s="4"/>
    </row>
    <row r="32" spans="1:37" ht="6.75" customHeight="1">
      <c r="B32" s="129"/>
      <c r="C32" s="129"/>
      <c r="D32" s="129"/>
      <c r="E32" s="129"/>
      <c r="F32" s="129"/>
      <c r="G32" s="129"/>
      <c r="H32" s="129"/>
      <c r="I32" s="129"/>
      <c r="J32" s="129"/>
      <c r="K32" s="14"/>
      <c r="M32" s="15"/>
      <c r="N32" s="14"/>
      <c r="O32" s="15"/>
      <c r="P32" s="14"/>
      <c r="Q32" s="15"/>
      <c r="R32" s="15"/>
      <c r="S32" s="14"/>
      <c r="T32" s="15"/>
      <c r="U32" s="14"/>
      <c r="W32" s="15"/>
      <c r="X32" s="14"/>
      <c r="Z32" s="15"/>
      <c r="AD32" s="15"/>
    </row>
    <row r="33" spans="2:36" ht="20.25" customHeight="1">
      <c r="B33" s="171"/>
      <c r="C33" s="171"/>
      <c r="D33" s="171"/>
      <c r="E33" s="171"/>
      <c r="F33" s="171"/>
      <c r="G33" s="171"/>
      <c r="H33" s="171"/>
      <c r="I33" s="171"/>
      <c r="J33" s="171"/>
      <c r="K33" s="147" t="str">
        <f>MID(SF_Data!H6,1,1)</f>
        <v/>
      </c>
      <c r="L33" s="131"/>
      <c r="M33" s="148"/>
      <c r="N33" s="147" t="str">
        <f>MID(SF_Data!H6,2,1)</f>
        <v/>
      </c>
      <c r="O33" s="148"/>
      <c r="P33" s="147" t="str">
        <f>MID(SF_Data!H6,3,1)</f>
        <v/>
      </c>
      <c r="Q33" s="148"/>
      <c r="R33" s="21" t="str">
        <f>MID(SF_Data!H6,4,1)</f>
        <v/>
      </c>
      <c r="S33" s="147" t="str">
        <f>MID(SF_Data!H6,5,1)</f>
        <v/>
      </c>
      <c r="T33" s="148"/>
      <c r="U33" s="147" t="str">
        <f>MID(SF_Data!H6,6,1)</f>
        <v/>
      </c>
      <c r="V33" s="131"/>
      <c r="W33" s="148"/>
      <c r="X33" s="147" t="str">
        <f>MID(SF_Data!H6,7,1)</f>
        <v/>
      </c>
      <c r="Y33" s="131"/>
      <c r="Z33" s="148"/>
      <c r="AA33" s="131" t="str">
        <f>MID(SF_Data!H6,8,1)</f>
        <v/>
      </c>
      <c r="AB33" s="131"/>
      <c r="AC33" s="131"/>
      <c r="AD33" s="148"/>
      <c r="AJ33" s="1"/>
    </row>
    <row r="34" spans="2:36" ht="13.2" customHeight="1">
      <c r="B34" s="155" t="s">
        <v>40</v>
      </c>
      <c r="C34" s="156"/>
      <c r="D34" s="156"/>
      <c r="E34" s="156"/>
      <c r="F34" s="156"/>
      <c r="G34" s="156"/>
      <c r="H34" s="156"/>
      <c r="I34" s="156"/>
      <c r="J34" s="157"/>
      <c r="K34" s="152" t="str">
        <f>IF(K36="","",VLOOKUP(K36,カナ!A:B,2))</f>
        <v/>
      </c>
      <c r="L34" s="153"/>
      <c r="M34" s="154"/>
      <c r="N34" s="152" t="str">
        <f>IF(N36="","",VLOOKUP(N36,カナ!A:B,2))</f>
        <v/>
      </c>
      <c r="O34" s="154"/>
      <c r="P34" s="152" t="str">
        <f>IF(P36="","",VLOOKUP(P36,カナ!A:B,2))</f>
        <v/>
      </c>
      <c r="Q34" s="154"/>
      <c r="R34" s="20" t="str">
        <f>IF(R36="","",VLOOKUP(R36,カナ!A:B,2))</f>
        <v/>
      </c>
      <c r="S34" s="152" t="str">
        <f>IF(S36="","",VLOOKUP(S36,カナ!A:B,2))</f>
        <v/>
      </c>
      <c r="T34" s="154"/>
      <c r="U34" s="152" t="str">
        <f>IF(U36="","",VLOOKUP(U36,カナ!A:B,2))</f>
        <v/>
      </c>
      <c r="V34" s="153"/>
      <c r="W34" s="154"/>
      <c r="X34" s="152" t="str">
        <f>IF(X36="","",VLOOKUP(X36,カナ!A:B,2))</f>
        <v/>
      </c>
      <c r="Y34" s="153"/>
      <c r="Z34" s="154"/>
      <c r="AA34" s="153" t="str">
        <f>IF(AA36="","",VLOOKUP(AA36,カナ!A:B,2))</f>
        <v/>
      </c>
      <c r="AB34" s="153"/>
      <c r="AC34" s="153"/>
      <c r="AD34" s="154"/>
    </row>
    <row r="35" spans="2:36" ht="6.75" customHeight="1">
      <c r="B35" s="96"/>
      <c r="C35" s="97"/>
      <c r="D35" s="97"/>
      <c r="E35" s="97"/>
      <c r="F35" s="97"/>
      <c r="G35" s="97"/>
      <c r="H35" s="97"/>
      <c r="I35" s="97"/>
      <c r="J35" s="98"/>
      <c r="K35" s="14"/>
      <c r="L35" s="1"/>
      <c r="M35" s="15"/>
      <c r="N35" s="14"/>
      <c r="O35" s="15"/>
      <c r="P35" s="14"/>
      <c r="Q35" s="15"/>
      <c r="R35" s="15"/>
      <c r="S35" s="14"/>
      <c r="T35" s="15"/>
      <c r="U35" s="14"/>
      <c r="W35" s="15"/>
      <c r="X35" s="14"/>
      <c r="Z35" s="15"/>
      <c r="AD35" s="15"/>
    </row>
    <row r="36" spans="2:36" ht="13.5" customHeight="1">
      <c r="B36" s="96"/>
      <c r="C36" s="97"/>
      <c r="D36" s="97"/>
      <c r="E36" s="97"/>
      <c r="F36" s="97"/>
      <c r="G36" s="97"/>
      <c r="H36" s="97"/>
      <c r="I36" s="97"/>
      <c r="J36" s="98"/>
      <c r="K36" s="147" t="str">
        <f>MID(SF_Data!I6,1,1)</f>
        <v/>
      </c>
      <c r="L36" s="131"/>
      <c r="M36" s="148"/>
      <c r="N36" s="147" t="str">
        <f>MID(SF_Data!I6,2,1)</f>
        <v/>
      </c>
      <c r="O36" s="148"/>
      <c r="P36" s="147" t="str">
        <f>MID(SF_Data!I6,3,1)</f>
        <v/>
      </c>
      <c r="Q36" s="148"/>
      <c r="R36" s="148" t="str">
        <f>MID(SF_Data!I6,4,1)</f>
        <v/>
      </c>
      <c r="S36" s="147" t="str">
        <f>MID(SF_Data!I6,5,1)</f>
        <v/>
      </c>
      <c r="T36" s="148"/>
      <c r="U36" s="147" t="str">
        <f>MID(SF_Data!I6,6,1)</f>
        <v/>
      </c>
      <c r="V36" s="131"/>
      <c r="W36" s="148"/>
      <c r="X36" s="147" t="str">
        <f>MID(SF_Data!I6,7,1)</f>
        <v/>
      </c>
      <c r="Y36" s="131"/>
      <c r="Z36" s="148"/>
      <c r="AA36" s="131" t="str">
        <f>MID(SF_Data!I6,8,1)</f>
        <v/>
      </c>
      <c r="AB36" s="131"/>
      <c r="AC36" s="131"/>
      <c r="AD36" s="148"/>
      <c r="AJ36" s="2"/>
    </row>
    <row r="37" spans="2:36" ht="6.75" customHeight="1">
      <c r="B37" s="99"/>
      <c r="C37" s="100"/>
      <c r="D37" s="100"/>
      <c r="E37" s="100"/>
      <c r="F37" s="100"/>
      <c r="G37" s="100"/>
      <c r="H37" s="100"/>
      <c r="I37" s="100"/>
      <c r="J37" s="101"/>
      <c r="K37" s="149"/>
      <c r="L37" s="150"/>
      <c r="M37" s="151"/>
      <c r="N37" s="149"/>
      <c r="O37" s="151"/>
      <c r="P37" s="149"/>
      <c r="Q37" s="151"/>
      <c r="R37" s="151"/>
      <c r="S37" s="149"/>
      <c r="T37" s="151"/>
      <c r="U37" s="149"/>
      <c r="V37" s="150"/>
      <c r="W37" s="151"/>
      <c r="X37" s="149"/>
      <c r="Y37" s="150"/>
      <c r="Z37" s="151"/>
      <c r="AA37" s="150"/>
      <c r="AB37" s="150"/>
      <c r="AC37" s="150"/>
      <c r="AD37" s="151"/>
    </row>
    <row r="38" spans="2:36" ht="6.75" customHeight="1">
      <c r="B38" s="158"/>
      <c r="C38" s="158"/>
      <c r="D38" s="158"/>
      <c r="E38" s="158"/>
      <c r="F38" s="158"/>
      <c r="G38" s="158"/>
      <c r="H38" s="158"/>
      <c r="I38" s="158"/>
      <c r="J38" s="158"/>
      <c r="K38" s="159"/>
      <c r="L38" s="159"/>
      <c r="M38" s="159"/>
      <c r="N38" s="159"/>
      <c r="O38" s="159"/>
      <c r="P38" s="159"/>
      <c r="Q38" s="159"/>
      <c r="R38" s="159"/>
      <c r="S38" s="159"/>
      <c r="T38" s="159"/>
      <c r="U38" s="159"/>
      <c r="V38" s="159"/>
      <c r="W38" s="159"/>
      <c r="X38" s="159"/>
      <c r="Y38" s="159"/>
      <c r="Z38" s="159"/>
      <c r="AA38" s="159"/>
      <c r="AB38" s="159"/>
      <c r="AC38" s="159"/>
      <c r="AD38" s="159"/>
    </row>
    <row r="39" spans="2:36" ht="20.25" customHeight="1">
      <c r="B39" s="110"/>
      <c r="C39" s="110"/>
      <c r="D39" s="110"/>
      <c r="E39" s="110"/>
      <c r="F39" s="110"/>
      <c r="G39" s="110"/>
      <c r="H39" s="110"/>
      <c r="I39" s="110"/>
      <c r="J39" s="110"/>
      <c r="K39" s="131"/>
      <c r="L39" s="131"/>
      <c r="M39" s="131"/>
      <c r="N39" s="131"/>
      <c r="O39" s="131"/>
      <c r="P39" s="131"/>
      <c r="Q39" s="131"/>
      <c r="R39" s="131"/>
      <c r="S39" s="131"/>
      <c r="T39" s="131"/>
      <c r="U39" s="131"/>
      <c r="V39" s="131"/>
      <c r="W39" s="131"/>
      <c r="X39" s="131"/>
      <c r="Y39" s="131"/>
      <c r="Z39" s="131"/>
      <c r="AA39" s="131"/>
      <c r="AB39" s="131"/>
      <c r="AC39" s="131"/>
      <c r="AD39" s="131"/>
      <c r="AI39" s="3"/>
    </row>
    <row r="40" spans="2:36" ht="12" customHeight="1"/>
    <row r="41" spans="2:36" ht="20.25" customHeight="1">
      <c r="D41" s="66" t="s">
        <v>42</v>
      </c>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row>
    <row r="42" spans="2:36" ht="27" customHeight="1">
      <c r="B42" s="129" t="s">
        <v>43</v>
      </c>
      <c r="C42" s="129"/>
      <c r="D42" s="129"/>
      <c r="E42" s="129"/>
      <c r="F42" s="129"/>
      <c r="G42" s="129"/>
      <c r="H42" s="129"/>
      <c r="I42" s="129"/>
      <c r="J42" s="129"/>
      <c r="K42" s="130">
        <f>SF_Data!D6</f>
        <v>0</v>
      </c>
      <c r="L42" s="130"/>
      <c r="M42" s="130"/>
      <c r="N42" s="130"/>
      <c r="O42" s="130"/>
      <c r="P42" s="130"/>
      <c r="Q42" s="130"/>
      <c r="R42" s="130"/>
      <c r="S42" s="130"/>
      <c r="T42" s="130"/>
      <c r="U42" s="130"/>
      <c r="V42" s="130"/>
      <c r="W42" s="130"/>
      <c r="X42" s="130"/>
      <c r="Y42" s="130"/>
      <c r="Z42" s="130"/>
      <c r="AA42" s="130"/>
      <c r="AB42" s="130"/>
      <c r="AC42" s="130"/>
      <c r="AD42" s="130"/>
    </row>
    <row r="43" spans="2:36" ht="27" customHeight="1">
      <c r="B43" s="129" t="s">
        <v>44</v>
      </c>
      <c r="C43" s="129"/>
      <c r="D43" s="129"/>
      <c r="E43" s="129"/>
      <c r="F43" s="129"/>
      <c r="G43" s="129"/>
      <c r="H43" s="129"/>
      <c r="I43" s="129"/>
      <c r="J43" s="129"/>
      <c r="K43" s="130" t="s">
        <v>45</v>
      </c>
      <c r="L43" s="130"/>
      <c r="M43" s="130"/>
      <c r="N43" s="130"/>
      <c r="O43" s="130"/>
      <c r="P43" s="130"/>
      <c r="Q43" s="130"/>
      <c r="R43" s="130"/>
      <c r="S43" s="130"/>
      <c r="T43" s="130"/>
      <c r="U43" s="130"/>
      <c r="V43" s="130"/>
      <c r="W43" s="130"/>
      <c r="X43" s="130"/>
      <c r="Y43" s="130"/>
      <c r="Z43" s="130"/>
      <c r="AA43" s="130"/>
      <c r="AB43" s="130"/>
      <c r="AC43" s="130"/>
      <c r="AD43" s="130"/>
    </row>
    <row r="44" spans="2:36" ht="6.75" customHeight="1">
      <c r="B44" s="132" t="s">
        <v>250</v>
      </c>
      <c r="C44" s="133"/>
      <c r="D44" s="133"/>
      <c r="E44" s="133"/>
      <c r="F44" s="133"/>
      <c r="G44" s="133"/>
      <c r="H44" s="133"/>
      <c r="I44" s="133"/>
      <c r="J44" s="134"/>
      <c r="K44" s="135" t="s">
        <v>256</v>
      </c>
      <c r="L44" s="136"/>
      <c r="M44" s="136"/>
      <c r="N44" s="136"/>
      <c r="O44" s="136"/>
      <c r="P44" s="136"/>
      <c r="Q44" s="136"/>
      <c r="R44" s="136"/>
      <c r="S44" s="137"/>
      <c r="T44" s="138" t="s">
        <v>253</v>
      </c>
      <c r="U44" s="139"/>
      <c r="V44" s="139"/>
      <c r="W44" s="139"/>
      <c r="X44" s="139"/>
      <c r="Y44" s="139"/>
      <c r="Z44" s="139"/>
      <c r="AA44" s="139"/>
      <c r="AB44" s="139"/>
      <c r="AC44" s="139"/>
      <c r="AD44" s="140"/>
    </row>
    <row r="45" spans="2:36" ht="20.25" customHeight="1">
      <c r="B45" s="132"/>
      <c r="C45" s="133"/>
      <c r="D45" s="133"/>
      <c r="E45" s="133"/>
      <c r="F45" s="133"/>
      <c r="G45" s="133"/>
      <c r="H45" s="133"/>
      <c r="I45" s="133"/>
      <c r="J45" s="134"/>
      <c r="K45" s="135"/>
      <c r="L45" s="136"/>
      <c r="M45" s="136"/>
      <c r="N45" s="136"/>
      <c r="O45" s="136"/>
      <c r="P45" s="136"/>
      <c r="Q45" s="136"/>
      <c r="R45" s="136"/>
      <c r="S45" s="137"/>
      <c r="T45" s="141"/>
      <c r="U45" s="142"/>
      <c r="V45" s="142"/>
      <c r="W45" s="142"/>
      <c r="X45" s="142"/>
      <c r="Y45" s="142"/>
      <c r="Z45" s="142"/>
      <c r="AA45" s="142"/>
      <c r="AB45" s="142"/>
      <c r="AC45" s="142"/>
      <c r="AD45" s="143"/>
    </row>
    <row r="46" spans="2:36" ht="6.75" customHeight="1">
      <c r="B46" s="132" t="s">
        <v>251</v>
      </c>
      <c r="C46" s="133"/>
      <c r="D46" s="133"/>
      <c r="E46" s="133"/>
      <c r="F46" s="133"/>
      <c r="G46" s="133"/>
      <c r="H46" s="133"/>
      <c r="I46" s="133"/>
      <c r="J46" s="134"/>
      <c r="K46" s="135" t="s">
        <v>257</v>
      </c>
      <c r="L46" s="136"/>
      <c r="M46" s="136"/>
      <c r="N46" s="136"/>
      <c r="O46" s="136"/>
      <c r="P46" s="136"/>
      <c r="Q46" s="136"/>
      <c r="R46" s="136"/>
      <c r="S46" s="137"/>
      <c r="T46" s="138" t="s">
        <v>254</v>
      </c>
      <c r="U46" s="139"/>
      <c r="V46" s="139"/>
      <c r="W46" s="139"/>
      <c r="X46" s="139"/>
      <c r="Y46" s="139"/>
      <c r="Z46" s="139"/>
      <c r="AA46" s="139"/>
      <c r="AB46" s="139"/>
      <c r="AC46" s="139"/>
      <c r="AD46" s="140"/>
    </row>
    <row r="47" spans="2:36" ht="20.25" customHeight="1">
      <c r="B47" s="132"/>
      <c r="C47" s="133"/>
      <c r="D47" s="133"/>
      <c r="E47" s="133"/>
      <c r="F47" s="133"/>
      <c r="G47" s="133"/>
      <c r="H47" s="133"/>
      <c r="I47" s="133"/>
      <c r="J47" s="134"/>
      <c r="K47" s="135"/>
      <c r="L47" s="136"/>
      <c r="M47" s="136"/>
      <c r="N47" s="136"/>
      <c r="O47" s="136"/>
      <c r="P47" s="136"/>
      <c r="Q47" s="136"/>
      <c r="R47" s="136"/>
      <c r="S47" s="137"/>
      <c r="T47" s="141"/>
      <c r="U47" s="142"/>
      <c r="V47" s="142"/>
      <c r="W47" s="142"/>
      <c r="X47" s="142"/>
      <c r="Y47" s="142"/>
      <c r="Z47" s="142"/>
      <c r="AA47" s="142"/>
      <c r="AB47" s="142"/>
      <c r="AC47" s="142"/>
      <c r="AD47" s="143"/>
    </row>
    <row r="48" spans="2:36" ht="6.75" customHeight="1">
      <c r="B48" s="132" t="s">
        <v>46</v>
      </c>
      <c r="C48" s="133"/>
      <c r="D48" s="133"/>
      <c r="E48" s="133"/>
      <c r="F48" s="133"/>
      <c r="G48" s="133"/>
      <c r="H48" s="133"/>
      <c r="I48" s="133"/>
      <c r="J48" s="134"/>
      <c r="K48" s="135" t="s">
        <v>258</v>
      </c>
      <c r="L48" s="136"/>
      <c r="M48" s="136"/>
      <c r="N48" s="136"/>
      <c r="O48" s="136"/>
      <c r="P48" s="136"/>
      <c r="Q48" s="136"/>
      <c r="R48" s="136"/>
      <c r="S48" s="137"/>
      <c r="T48" s="138" t="s">
        <v>255</v>
      </c>
      <c r="U48" s="139"/>
      <c r="V48" s="139"/>
      <c r="W48" s="139"/>
      <c r="X48" s="139"/>
      <c r="Y48" s="139"/>
      <c r="Z48" s="139"/>
      <c r="AA48" s="139"/>
      <c r="AB48" s="139"/>
      <c r="AC48" s="139"/>
      <c r="AD48" s="140"/>
    </row>
    <row r="49" spans="2:30" ht="20.25" customHeight="1">
      <c r="B49" s="132"/>
      <c r="C49" s="133"/>
      <c r="D49" s="133"/>
      <c r="E49" s="133"/>
      <c r="F49" s="133"/>
      <c r="G49" s="133"/>
      <c r="H49" s="133"/>
      <c r="I49" s="133"/>
      <c r="J49" s="134"/>
      <c r="K49" s="135"/>
      <c r="L49" s="136"/>
      <c r="M49" s="136"/>
      <c r="N49" s="136"/>
      <c r="O49" s="136"/>
      <c r="P49" s="136"/>
      <c r="Q49" s="136"/>
      <c r="R49" s="136"/>
      <c r="S49" s="137"/>
      <c r="T49" s="141"/>
      <c r="U49" s="142"/>
      <c r="V49" s="142"/>
      <c r="W49" s="142"/>
      <c r="X49" s="142"/>
      <c r="Y49" s="142"/>
      <c r="Z49" s="142"/>
      <c r="AA49" s="142"/>
      <c r="AB49" s="142"/>
      <c r="AC49" s="142"/>
      <c r="AD49" s="143"/>
    </row>
    <row r="50" spans="2:30" ht="27" customHeight="1">
      <c r="B50" s="96" t="s">
        <v>47</v>
      </c>
      <c r="C50" s="97"/>
      <c r="D50" s="97"/>
      <c r="E50" s="97"/>
      <c r="F50" s="97"/>
      <c r="G50" s="97"/>
      <c r="H50" s="97"/>
      <c r="I50" s="97"/>
      <c r="J50" s="98"/>
      <c r="K50" s="144" t="s">
        <v>259</v>
      </c>
      <c r="L50" s="145"/>
      <c r="M50" s="145"/>
      <c r="N50" s="145"/>
      <c r="O50" s="145"/>
      <c r="P50" s="145"/>
      <c r="Q50" s="145"/>
      <c r="R50" s="145"/>
      <c r="S50" s="145"/>
      <c r="T50" s="145"/>
      <c r="U50" s="145"/>
      <c r="V50" s="145"/>
      <c r="W50" s="145"/>
      <c r="X50" s="145"/>
      <c r="Y50" s="145"/>
      <c r="Z50" s="145"/>
      <c r="AA50" s="145"/>
      <c r="AB50" s="145"/>
      <c r="AC50" s="145"/>
      <c r="AD50" s="146"/>
    </row>
    <row r="51" spans="2:30" ht="27" customHeight="1">
      <c r="B51" s="132" t="s">
        <v>159</v>
      </c>
      <c r="C51" s="133"/>
      <c r="D51" s="133"/>
      <c r="E51" s="133"/>
      <c r="F51" s="133"/>
      <c r="G51" s="133"/>
      <c r="H51" s="133"/>
      <c r="I51" s="133"/>
      <c r="J51" s="134"/>
      <c r="K51" s="136">
        <f>SF_Data!O6</f>
        <v>0</v>
      </c>
      <c r="L51" s="136"/>
      <c r="M51" s="136"/>
      <c r="N51" s="136"/>
      <c r="O51" s="136"/>
      <c r="P51" s="136"/>
      <c r="Q51" s="136"/>
      <c r="R51" s="136"/>
      <c r="S51" s="136"/>
      <c r="T51" s="136"/>
      <c r="U51" s="136"/>
      <c r="V51" s="136"/>
      <c r="W51" s="136"/>
      <c r="X51" s="136"/>
      <c r="Y51" s="136"/>
      <c r="Z51" s="136"/>
      <c r="AA51" s="136"/>
      <c r="AB51" s="136"/>
      <c r="AC51" s="136"/>
      <c r="AD51" s="137"/>
    </row>
    <row r="52" spans="2:30" ht="12" customHeight="1"/>
    <row r="53" spans="2:30" ht="20.25" customHeight="1">
      <c r="D53" s="66" t="str">
        <f>IF(SF_Data!AA6="-","","ホームページスペースサービスのご利用設定項目")</f>
        <v>ホームページスペースサービスのご利用設定項目</v>
      </c>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row>
    <row r="54" spans="2:30" ht="27" customHeight="1">
      <c r="B54" s="188" t="str">
        <f>IF(SF_Data!AA6="-","","お客様のホームページURL")</f>
        <v>お客様のホームページURL</v>
      </c>
      <c r="C54" s="188"/>
      <c r="D54" s="188"/>
      <c r="E54" s="188"/>
      <c r="F54" s="188"/>
      <c r="G54" s="188"/>
      <c r="H54" s="188"/>
      <c r="I54" s="188"/>
      <c r="J54" s="188"/>
      <c r="K54" s="165" t="str">
        <f>IF(SF_Data!AA6="-","","https://home.cs-contact.jp"&amp;"/~"&amp; SF_Data!AA6 &amp;"/")</f>
        <v>https://home.cs-contact.jp/~/</v>
      </c>
      <c r="L54" s="165"/>
      <c r="M54" s="165"/>
      <c r="N54" s="165"/>
      <c r="O54" s="165"/>
      <c r="P54" s="165"/>
      <c r="Q54" s="165"/>
      <c r="R54" s="165"/>
      <c r="S54" s="165"/>
      <c r="T54" s="165"/>
      <c r="U54" s="165"/>
      <c r="V54" s="165"/>
      <c r="W54" s="165"/>
      <c r="X54" s="165"/>
      <c r="Y54" s="165"/>
      <c r="Z54" s="165"/>
      <c r="AA54" s="165"/>
      <c r="AB54" s="165"/>
      <c r="AC54" s="165"/>
      <c r="AD54" s="165"/>
    </row>
    <row r="55" spans="2:30" ht="27" customHeight="1">
      <c r="B55" s="188" t="str">
        <f>IF(SF_Data!AA6="-","","ユーザー名")</f>
        <v>ユーザー名</v>
      </c>
      <c r="C55" s="188"/>
      <c r="D55" s="188"/>
      <c r="E55" s="188"/>
      <c r="F55" s="188"/>
      <c r="G55" s="188"/>
      <c r="H55" s="188"/>
      <c r="I55" s="188"/>
      <c r="J55" s="188"/>
      <c r="K55" s="165">
        <f>IF(SF_Data!AA6="-","",SF_Data!AA6)</f>
        <v>0</v>
      </c>
      <c r="L55" s="165"/>
      <c r="M55" s="165"/>
      <c r="N55" s="165"/>
      <c r="O55" s="165"/>
      <c r="P55" s="165"/>
      <c r="Q55" s="165"/>
      <c r="R55" s="165"/>
      <c r="S55" s="165"/>
      <c r="T55" s="165"/>
      <c r="U55" s="165"/>
      <c r="V55" s="165"/>
      <c r="W55" s="165"/>
      <c r="X55" s="165"/>
      <c r="Y55" s="165"/>
      <c r="Z55" s="165"/>
      <c r="AA55" s="165"/>
      <c r="AB55" s="165"/>
      <c r="AC55" s="165"/>
      <c r="AD55" s="165"/>
    </row>
    <row r="56" spans="2:30" ht="27" customHeight="1">
      <c r="B56" s="188" t="str">
        <f>IF(SF_Data!AA6="-","","FTPサーバーホスト名")</f>
        <v>FTPサーバーホスト名</v>
      </c>
      <c r="C56" s="188"/>
      <c r="D56" s="188"/>
      <c r="E56" s="188"/>
      <c r="F56" s="188"/>
      <c r="G56" s="188"/>
      <c r="H56" s="188"/>
      <c r="I56" s="188"/>
      <c r="J56" s="188"/>
      <c r="K56" s="165" t="str">
        <f>IF(SF_Data!AA6="-","","home.cs-contact.jp")</f>
        <v>home.cs-contact.jp</v>
      </c>
      <c r="L56" s="165"/>
      <c r="M56" s="165"/>
      <c r="N56" s="165"/>
      <c r="O56" s="165"/>
      <c r="P56" s="165"/>
      <c r="Q56" s="165"/>
      <c r="R56" s="165"/>
      <c r="S56" s="165"/>
      <c r="T56" s="165"/>
      <c r="U56" s="165"/>
      <c r="V56" s="165"/>
      <c r="W56" s="165"/>
      <c r="X56" s="165"/>
      <c r="Y56" s="165"/>
      <c r="Z56" s="165"/>
      <c r="AA56" s="165"/>
      <c r="AB56" s="165"/>
      <c r="AC56" s="165"/>
      <c r="AD56" s="165"/>
    </row>
    <row r="57" spans="2:30" ht="8.25" customHeight="1"/>
    <row r="58" spans="2:30" ht="8.25" customHeight="1"/>
    <row r="59" spans="2:30" ht="8.25" customHeight="1"/>
    <row r="60" spans="2:30" ht="58.2" customHeight="1"/>
    <row r="61" spans="2:30" ht="20.25" customHeight="1">
      <c r="D61" s="66" t="s">
        <v>249</v>
      </c>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row>
    <row r="62" spans="2:30" ht="27" customHeight="1">
      <c r="B62" s="129" t="s">
        <v>21</v>
      </c>
      <c r="C62" s="129"/>
      <c r="D62" s="129"/>
      <c r="E62" s="129"/>
      <c r="F62" s="129"/>
      <c r="G62" s="129"/>
      <c r="H62" s="129"/>
      <c r="I62" s="129"/>
      <c r="J62" s="129"/>
      <c r="K62" s="130">
        <f>SF_Data!F6</f>
        <v>0</v>
      </c>
      <c r="L62" s="130"/>
      <c r="M62" s="130"/>
      <c r="N62" s="130"/>
      <c r="O62" s="130"/>
      <c r="P62" s="130"/>
      <c r="Q62" s="130"/>
      <c r="R62" s="130"/>
      <c r="S62" s="130"/>
      <c r="T62" s="130"/>
      <c r="U62" s="130"/>
      <c r="V62" s="130"/>
      <c r="W62" s="130"/>
      <c r="X62" s="130"/>
      <c r="Y62" s="130"/>
      <c r="Z62" s="130"/>
      <c r="AA62" s="130"/>
      <c r="AB62" s="130"/>
      <c r="AC62" s="130"/>
      <c r="AD62" s="130"/>
    </row>
    <row r="63" spans="2:30" ht="27" customHeight="1">
      <c r="B63" s="129" t="s">
        <v>48</v>
      </c>
      <c r="C63" s="129"/>
      <c r="D63" s="129"/>
      <c r="E63" s="129"/>
      <c r="F63" s="129"/>
      <c r="G63" s="129"/>
      <c r="H63" s="129"/>
      <c r="I63" s="129"/>
      <c r="J63" s="129"/>
      <c r="K63" s="130">
        <f>SF_Data!P6</f>
        <v>0</v>
      </c>
      <c r="L63" s="130"/>
      <c r="M63" s="130"/>
      <c r="N63" s="130"/>
      <c r="O63" s="130"/>
      <c r="P63" s="130"/>
      <c r="Q63" s="130"/>
      <c r="R63" s="130"/>
      <c r="S63" s="130"/>
      <c r="T63" s="130"/>
      <c r="U63" s="130"/>
      <c r="V63" s="130"/>
      <c r="W63" s="130"/>
      <c r="X63" s="130"/>
      <c r="Y63" s="130"/>
      <c r="Z63" s="130"/>
      <c r="AA63" s="130"/>
      <c r="AB63" s="130"/>
      <c r="AC63" s="130"/>
      <c r="AD63" s="130"/>
    </row>
    <row r="64" spans="2:30" ht="27" customHeight="1">
      <c r="B64" s="129" t="s">
        <v>49</v>
      </c>
      <c r="C64" s="129"/>
      <c r="D64" s="129"/>
      <c r="E64" s="129"/>
      <c r="F64" s="129"/>
      <c r="G64" s="129"/>
      <c r="H64" s="129"/>
      <c r="I64" s="129"/>
      <c r="J64" s="129"/>
      <c r="K64" s="130">
        <f>SF_Data!Q6</f>
        <v>0</v>
      </c>
      <c r="L64" s="130"/>
      <c r="M64" s="130"/>
      <c r="N64" s="130"/>
      <c r="O64" s="130"/>
      <c r="P64" s="130"/>
      <c r="Q64" s="130"/>
      <c r="R64" s="130"/>
      <c r="S64" s="130"/>
      <c r="T64" s="130"/>
      <c r="U64" s="130"/>
      <c r="V64" s="130"/>
      <c r="W64" s="130"/>
      <c r="X64" s="130"/>
      <c r="Y64" s="130"/>
      <c r="Z64" s="130"/>
      <c r="AA64" s="130"/>
      <c r="AB64" s="130"/>
      <c r="AC64" s="130"/>
      <c r="AD64" s="130"/>
    </row>
    <row r="65" spans="2:30" ht="6" customHeight="1">
      <c r="B65" s="17"/>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6"/>
    </row>
    <row r="66" spans="2:30" ht="13.5" customHeight="1">
      <c r="B66" s="116" t="s">
        <v>50</v>
      </c>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8"/>
    </row>
    <row r="67" spans="2:30" ht="13.5" customHeight="1">
      <c r="B67" s="116" t="s">
        <v>51</v>
      </c>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8"/>
    </row>
    <row r="68" spans="2:30" ht="13.5" customHeight="1">
      <c r="B68" s="116" t="s">
        <v>52</v>
      </c>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8"/>
    </row>
    <row r="69" spans="2:30" ht="13.5" customHeight="1">
      <c r="B69" s="116" t="s">
        <v>53</v>
      </c>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8"/>
    </row>
    <row r="70" spans="2:30" ht="13.5" customHeight="1">
      <c r="B70" s="119" t="s">
        <v>54</v>
      </c>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1"/>
    </row>
    <row r="71" spans="2:30" ht="18" customHeight="1"/>
    <row r="72" spans="2:30" ht="20.25" customHeight="1">
      <c r="D72" s="66" t="s">
        <v>55</v>
      </c>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row>
    <row r="73" spans="2:30" ht="6.75" customHeight="1">
      <c r="B73" s="93" t="s">
        <v>56</v>
      </c>
      <c r="C73" s="94"/>
      <c r="D73" s="94"/>
      <c r="E73" s="94"/>
      <c r="F73" s="94"/>
      <c r="G73" s="94"/>
      <c r="H73" s="94"/>
      <c r="I73" s="94"/>
      <c r="J73" s="95"/>
      <c r="K73" s="8"/>
      <c r="L73" s="9"/>
      <c r="M73" s="9"/>
      <c r="N73" s="9"/>
      <c r="O73" s="9"/>
      <c r="P73" s="9"/>
      <c r="Q73" s="9"/>
      <c r="R73" s="9"/>
      <c r="S73" s="9"/>
      <c r="T73" s="9"/>
      <c r="U73" s="9"/>
      <c r="V73" s="9"/>
      <c r="W73" s="9"/>
      <c r="X73" s="9"/>
      <c r="Y73" s="9"/>
      <c r="Z73" s="9"/>
      <c r="AA73" s="9"/>
      <c r="AB73" s="9"/>
      <c r="AC73" s="9"/>
      <c r="AD73" s="10"/>
    </row>
    <row r="74" spans="2:30" ht="20.25" customHeight="1">
      <c r="B74" s="96"/>
      <c r="C74" s="97"/>
      <c r="D74" s="97"/>
      <c r="E74" s="97"/>
      <c r="F74" s="97"/>
      <c r="G74" s="97"/>
      <c r="H74" s="97"/>
      <c r="I74" s="97"/>
      <c r="J74" s="98"/>
      <c r="K74" s="14"/>
      <c r="L74" s="122" t="s">
        <v>161</v>
      </c>
      <c r="M74" s="122"/>
      <c r="N74" s="122"/>
      <c r="O74" s="122"/>
      <c r="P74" s="122"/>
      <c r="Q74" s="122"/>
      <c r="R74" s="122"/>
      <c r="S74" s="122"/>
      <c r="T74" s="122"/>
      <c r="U74" s="122"/>
      <c r="V74" s="122"/>
      <c r="W74" s="122"/>
      <c r="X74" s="122"/>
      <c r="Y74" s="122"/>
      <c r="Z74" s="122"/>
      <c r="AA74" s="122"/>
      <c r="AB74" s="122"/>
      <c r="AC74" s="122"/>
      <c r="AD74" s="123"/>
    </row>
    <row r="75" spans="2:30" ht="20.25" customHeight="1">
      <c r="B75" s="96"/>
      <c r="C75" s="97"/>
      <c r="D75" s="97"/>
      <c r="E75" s="97"/>
      <c r="F75" s="97"/>
      <c r="G75" s="97"/>
      <c r="H75" s="97"/>
      <c r="I75" s="97"/>
      <c r="J75" s="98"/>
      <c r="K75" s="14"/>
      <c r="L75" s="122" t="s">
        <v>57</v>
      </c>
      <c r="M75" s="122"/>
      <c r="N75" s="122"/>
      <c r="O75" s="122"/>
      <c r="P75" s="122"/>
      <c r="Q75" s="122"/>
      <c r="R75" s="122"/>
      <c r="S75" s="122"/>
      <c r="T75" s="122"/>
      <c r="U75" s="122"/>
      <c r="V75" s="122"/>
      <c r="W75" s="122"/>
      <c r="X75" s="122"/>
      <c r="Y75" s="122"/>
      <c r="Z75" s="122"/>
      <c r="AA75" s="122"/>
      <c r="AB75" s="122"/>
      <c r="AC75" s="122"/>
      <c r="AD75" s="123"/>
    </row>
    <row r="76" spans="2:30" ht="20.25" customHeight="1">
      <c r="B76" s="96"/>
      <c r="C76" s="97"/>
      <c r="D76" s="97"/>
      <c r="E76" s="97"/>
      <c r="F76" s="97"/>
      <c r="G76" s="97"/>
      <c r="H76" s="97"/>
      <c r="I76" s="97"/>
      <c r="J76" s="98"/>
      <c r="K76" s="14"/>
      <c r="L76" s="122" t="s">
        <v>58</v>
      </c>
      <c r="M76" s="122"/>
      <c r="N76" s="122"/>
      <c r="O76" s="122"/>
      <c r="P76" s="122"/>
      <c r="Q76" s="122"/>
      <c r="R76" s="122"/>
      <c r="S76" s="122"/>
      <c r="T76" s="122"/>
      <c r="U76" s="122"/>
      <c r="V76" s="122"/>
      <c r="W76" s="122"/>
      <c r="X76" s="122"/>
      <c r="Y76" s="122"/>
      <c r="Z76" s="122"/>
      <c r="AA76" s="122"/>
      <c r="AB76" s="122"/>
      <c r="AC76" s="122"/>
      <c r="AD76" s="123"/>
    </row>
    <row r="77" spans="2:30" ht="13.5" customHeight="1">
      <c r="B77" s="99"/>
      <c r="C77" s="100"/>
      <c r="D77" s="100"/>
      <c r="E77" s="100"/>
      <c r="F77" s="100"/>
      <c r="G77" s="100"/>
      <c r="H77" s="100"/>
      <c r="I77" s="100"/>
      <c r="J77" s="101"/>
      <c r="K77" s="11"/>
      <c r="L77" s="12"/>
      <c r="M77" s="12"/>
      <c r="N77" s="12"/>
      <c r="O77" s="12"/>
      <c r="P77" s="12"/>
      <c r="Q77" s="12"/>
      <c r="R77" s="12"/>
      <c r="S77" s="12"/>
      <c r="T77" s="12"/>
      <c r="U77" s="12"/>
      <c r="V77" s="12"/>
      <c r="W77" s="12"/>
      <c r="X77" s="12"/>
      <c r="Y77" s="12"/>
      <c r="Z77" s="12"/>
      <c r="AA77" s="12"/>
      <c r="AB77" s="12"/>
      <c r="AC77" s="12"/>
      <c r="AD77" s="13"/>
    </row>
    <row r="78" spans="2:30" ht="18" customHeight="1"/>
    <row r="79" spans="2:30" ht="12" customHeight="1"/>
    <row r="80" spans="2:30" ht="20.25" customHeight="1">
      <c r="D80" s="66" t="s">
        <v>65</v>
      </c>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row>
    <row r="81" spans="2:30" ht="6.75" customHeight="1">
      <c r="B81" s="93" t="s">
        <v>66</v>
      </c>
      <c r="C81" s="94"/>
      <c r="D81" s="94"/>
      <c r="E81" s="94"/>
      <c r="F81" s="95"/>
      <c r="G81" s="8"/>
      <c r="H81" s="9"/>
      <c r="I81" s="9"/>
      <c r="J81" s="9"/>
      <c r="K81" s="9"/>
      <c r="L81" s="9"/>
      <c r="M81" s="9"/>
      <c r="N81" s="9"/>
      <c r="O81" s="9"/>
      <c r="P81" s="9"/>
      <c r="Q81" s="9"/>
      <c r="R81" s="9"/>
      <c r="S81" s="9"/>
      <c r="T81" s="9"/>
      <c r="U81" s="9"/>
      <c r="V81" s="9"/>
      <c r="W81" s="9"/>
      <c r="X81" s="9"/>
      <c r="Y81" s="9"/>
      <c r="Z81" s="9"/>
      <c r="AA81" s="9"/>
      <c r="AB81" s="9"/>
      <c r="AC81" s="10"/>
    </row>
    <row r="82" spans="2:30" ht="13.5" customHeight="1">
      <c r="B82" s="96"/>
      <c r="C82" s="97"/>
      <c r="D82" s="97"/>
      <c r="E82" s="97"/>
      <c r="F82" s="98"/>
      <c r="G82" s="14"/>
      <c r="H82" s="69" t="s">
        <v>67</v>
      </c>
      <c r="I82" s="69"/>
      <c r="J82" s="69"/>
      <c r="K82" s="69"/>
      <c r="L82" s="69"/>
      <c r="M82" s="69"/>
      <c r="N82" s="69"/>
      <c r="O82" s="69"/>
      <c r="P82" s="69"/>
      <c r="Q82" s="69"/>
      <c r="R82" s="69"/>
      <c r="S82" s="69"/>
      <c r="T82" s="69"/>
      <c r="U82" s="69"/>
      <c r="V82" s="69"/>
      <c r="W82" s="69"/>
      <c r="X82" s="69"/>
      <c r="Y82" s="69"/>
      <c r="Z82" s="69"/>
      <c r="AA82" s="69"/>
      <c r="AB82" s="69"/>
      <c r="AC82" s="15"/>
    </row>
    <row r="83" spans="2:30" ht="13.5" customHeight="1">
      <c r="B83" s="96"/>
      <c r="C83" s="97"/>
      <c r="D83" s="97"/>
      <c r="E83" s="97"/>
      <c r="F83" s="98"/>
      <c r="G83" s="14"/>
      <c r="H83" s="69" t="s">
        <v>68</v>
      </c>
      <c r="I83" s="69"/>
      <c r="J83" s="69"/>
      <c r="K83" s="69"/>
      <c r="L83" s="69"/>
      <c r="M83" s="69"/>
      <c r="N83" s="69"/>
      <c r="O83" s="69"/>
      <c r="P83" s="69"/>
      <c r="Q83" s="69"/>
      <c r="R83" s="69"/>
      <c r="S83" s="69"/>
      <c r="T83" s="69"/>
      <c r="U83" s="69"/>
      <c r="V83" s="69"/>
      <c r="W83" s="69"/>
      <c r="X83" s="69"/>
      <c r="Y83" s="69"/>
      <c r="Z83" s="69"/>
      <c r="AA83" s="69"/>
      <c r="AB83" s="69"/>
      <c r="AC83" s="15"/>
    </row>
    <row r="84" spans="2:30" ht="13.5" customHeight="1">
      <c r="B84" s="96"/>
      <c r="C84" s="97"/>
      <c r="D84" s="97"/>
      <c r="E84" s="97"/>
      <c r="F84" s="98"/>
      <c r="G84" s="14"/>
      <c r="H84" s="69" t="s">
        <v>193</v>
      </c>
      <c r="I84" s="69"/>
      <c r="J84" s="69"/>
      <c r="K84" s="69"/>
      <c r="L84" s="69"/>
      <c r="M84" s="69"/>
      <c r="N84" s="69"/>
      <c r="O84" s="69"/>
      <c r="P84" s="69"/>
      <c r="Q84" s="69"/>
      <c r="R84" s="69"/>
      <c r="S84" s="69"/>
      <c r="T84" s="69"/>
      <c r="U84" s="69"/>
      <c r="V84" s="69"/>
      <c r="W84" s="69"/>
      <c r="X84" s="69"/>
      <c r="Y84" s="69"/>
      <c r="Z84" s="69"/>
      <c r="AA84" s="69"/>
      <c r="AB84" s="69"/>
      <c r="AC84" s="15"/>
    </row>
    <row r="85" spans="2:30" ht="13.5" customHeight="1">
      <c r="B85" s="96"/>
      <c r="C85" s="97"/>
      <c r="D85" s="97"/>
      <c r="E85" s="97"/>
      <c r="F85" s="98"/>
      <c r="G85" s="14"/>
      <c r="H85" s="69" t="s">
        <v>192</v>
      </c>
      <c r="I85" s="69"/>
      <c r="J85" s="69"/>
      <c r="K85" s="69"/>
      <c r="L85" s="69"/>
      <c r="M85" s="69"/>
      <c r="N85" s="69"/>
      <c r="O85" s="69"/>
      <c r="P85" s="69"/>
      <c r="Q85" s="69"/>
      <c r="R85" s="69"/>
      <c r="S85" s="69"/>
      <c r="T85" s="69"/>
      <c r="U85" s="69"/>
      <c r="V85" s="69"/>
      <c r="W85" s="69"/>
      <c r="X85" s="69"/>
      <c r="Y85" s="69"/>
      <c r="Z85" s="69"/>
      <c r="AA85" s="69"/>
      <c r="AB85" s="69"/>
      <c r="AC85" s="15"/>
    </row>
    <row r="86" spans="2:30" ht="13.5" customHeight="1">
      <c r="B86" s="96"/>
      <c r="C86" s="97"/>
      <c r="D86" s="97"/>
      <c r="E86" s="97"/>
      <c r="F86" s="98"/>
      <c r="G86" s="14"/>
      <c r="H86" s="69" t="str">
        <f>"mail：support@"&amp;SF_Data!G6</f>
        <v>mail：support@</v>
      </c>
      <c r="I86" s="69"/>
      <c r="J86" s="69"/>
      <c r="K86" s="69"/>
      <c r="L86" s="69"/>
      <c r="M86" s="69"/>
      <c r="N86" s="69"/>
      <c r="O86" s="69"/>
      <c r="P86" s="69"/>
      <c r="Q86" s="69"/>
      <c r="R86" s="69"/>
      <c r="S86" s="69"/>
      <c r="T86" s="69"/>
      <c r="U86" s="69"/>
      <c r="V86" s="69"/>
      <c r="W86" s="69"/>
      <c r="X86" s="69"/>
      <c r="Y86" s="69"/>
      <c r="Z86" s="69"/>
      <c r="AA86" s="69"/>
      <c r="AB86" s="69"/>
      <c r="AC86" s="15"/>
    </row>
    <row r="87" spans="2:30" ht="6.75" customHeight="1">
      <c r="B87" s="99"/>
      <c r="C87" s="100"/>
      <c r="D87" s="100"/>
      <c r="E87" s="100"/>
      <c r="F87" s="101"/>
      <c r="G87" s="11"/>
      <c r="H87" s="12"/>
      <c r="I87" s="12"/>
      <c r="J87" s="12"/>
      <c r="K87" s="12"/>
      <c r="L87" s="12"/>
      <c r="M87" s="12"/>
      <c r="N87" s="12"/>
      <c r="O87" s="12"/>
      <c r="P87" s="12"/>
      <c r="Q87" s="12"/>
      <c r="R87" s="12"/>
      <c r="S87" s="12"/>
      <c r="T87" s="12"/>
      <c r="U87" s="12"/>
      <c r="V87" s="12"/>
      <c r="W87" s="12"/>
      <c r="X87" s="12"/>
      <c r="Y87" s="12"/>
      <c r="Z87" s="12"/>
      <c r="AA87" s="12"/>
      <c r="AB87" s="12"/>
      <c r="AC87" s="13"/>
    </row>
    <row r="88" spans="2:30" ht="6" customHeight="1">
      <c r="B88" s="8"/>
      <c r="C88" s="9"/>
      <c r="D88" s="9"/>
      <c r="E88" s="9"/>
      <c r="F88" s="9"/>
      <c r="G88" s="9"/>
      <c r="H88" s="9"/>
      <c r="I88" s="9"/>
      <c r="J88" s="9"/>
      <c r="K88" s="9"/>
      <c r="L88" s="9"/>
      <c r="M88" s="9"/>
      <c r="N88" s="9"/>
      <c r="O88" s="9"/>
      <c r="P88" s="9"/>
      <c r="Q88" s="9"/>
      <c r="R88" s="9"/>
      <c r="S88" s="9"/>
      <c r="T88" s="9"/>
      <c r="U88" s="9"/>
      <c r="V88" s="9"/>
      <c r="W88" s="9"/>
      <c r="X88" s="9"/>
      <c r="Y88" s="9"/>
      <c r="Z88" s="9"/>
      <c r="AA88" s="9"/>
      <c r="AB88" s="9"/>
      <c r="AC88" s="10"/>
    </row>
    <row r="89" spans="2:30" ht="13.5" customHeight="1">
      <c r="B89" s="14"/>
      <c r="C89" s="187" t="s">
        <v>260</v>
      </c>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5"/>
    </row>
    <row r="90" spans="2:30" ht="13.5" customHeight="1">
      <c r="B90" s="11"/>
      <c r="C90" s="65" t="s">
        <v>69</v>
      </c>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13"/>
    </row>
    <row r="91" spans="2:30" ht="18" customHeight="1"/>
    <row r="92" spans="2:30" ht="20.25" customHeight="1">
      <c r="D92" s="66" t="s">
        <v>70</v>
      </c>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row>
    <row r="93" spans="2:30" ht="13.5" customHeight="1">
      <c r="B93" s="17"/>
      <c r="C93" s="67" t="s">
        <v>71</v>
      </c>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18"/>
    </row>
    <row r="94" spans="2:30" ht="13.5" customHeight="1">
      <c r="B94" s="14"/>
      <c r="C94" s="75" t="s">
        <v>163</v>
      </c>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18"/>
    </row>
    <row r="95" spans="2:30" ht="13.5" customHeight="1">
      <c r="B95" s="14"/>
      <c r="C95" s="186" t="s">
        <v>160</v>
      </c>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186"/>
      <c r="AC95" s="186"/>
      <c r="AD95" s="18"/>
    </row>
    <row r="96" spans="2:30" ht="13.5" customHeight="1">
      <c r="B96" s="14"/>
      <c r="C96" s="75" t="s">
        <v>164</v>
      </c>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18"/>
    </row>
    <row r="97" spans="2:30" ht="13.5" customHeight="1">
      <c r="B97" s="14"/>
      <c r="C97" s="186" t="s">
        <v>72</v>
      </c>
      <c r="D97" s="186"/>
      <c r="E97" s="186"/>
      <c r="F97" s="186"/>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
    </row>
    <row r="98" spans="2:30" ht="13.5" customHeight="1">
      <c r="B98" s="14"/>
      <c r="C98" s="186" t="s">
        <v>73</v>
      </c>
      <c r="D98" s="186"/>
      <c r="E98" s="186"/>
      <c r="F98" s="186"/>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
    </row>
    <row r="99" spans="2:30" ht="13.5" customHeight="1">
      <c r="B99" s="14"/>
      <c r="C99" s="75" t="s">
        <v>165</v>
      </c>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18"/>
    </row>
    <row r="100" spans="2:30" ht="13.5" customHeight="1">
      <c r="B100" s="11"/>
      <c r="C100" s="80" t="s">
        <v>166</v>
      </c>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18"/>
    </row>
    <row r="101" spans="2:30" ht="48" customHeight="1"/>
    <row r="102" spans="2:30" ht="13.2"/>
    <row r="103" spans="2:30" ht="11.25" customHeight="1"/>
    <row r="104" spans="2:30" ht="5.25" customHeight="1"/>
  </sheetData>
  <mergeCells count="125">
    <mergeCell ref="W2:AF2"/>
    <mergeCell ref="D3:F4"/>
    <mergeCell ref="G3:H4"/>
    <mergeCell ref="J4:N5"/>
    <mergeCell ref="D5:I6"/>
    <mergeCell ref="D7:I8"/>
    <mergeCell ref="R14:AG14"/>
    <mergeCell ref="A16:AH16"/>
    <mergeCell ref="A17:AH17"/>
    <mergeCell ref="C19:AE19"/>
    <mergeCell ref="C20:AE20"/>
    <mergeCell ref="E22:AA22"/>
    <mergeCell ref="D9:G9"/>
    <mergeCell ref="R9:AG9"/>
    <mergeCell ref="D10:H11"/>
    <mergeCell ref="R11:AG12"/>
    <mergeCell ref="C13:H13"/>
    <mergeCell ref="R13:AG13"/>
    <mergeCell ref="B28:J28"/>
    <mergeCell ref="K28:AD28"/>
    <mergeCell ref="B29:J30"/>
    <mergeCell ref="K29:R29"/>
    <mergeCell ref="S29:AD29"/>
    <mergeCell ref="K30:R30"/>
    <mergeCell ref="S30:AD30"/>
    <mergeCell ref="E23:AD23"/>
    <mergeCell ref="B25:J25"/>
    <mergeCell ref="K25:AD25"/>
    <mergeCell ref="B26:J26"/>
    <mergeCell ref="K26:AD26"/>
    <mergeCell ref="B27:J27"/>
    <mergeCell ref="K27:AD27"/>
    <mergeCell ref="B31:J33"/>
    <mergeCell ref="K31:M31"/>
    <mergeCell ref="N31:O31"/>
    <mergeCell ref="P31:Q31"/>
    <mergeCell ref="S31:T31"/>
    <mergeCell ref="U31:W31"/>
    <mergeCell ref="X34:Z34"/>
    <mergeCell ref="AA34:AD34"/>
    <mergeCell ref="K36:M37"/>
    <mergeCell ref="X31:Z31"/>
    <mergeCell ref="AA31:AD31"/>
    <mergeCell ref="K33:M33"/>
    <mergeCell ref="N33:O33"/>
    <mergeCell ref="P33:Q33"/>
    <mergeCell ref="S33:T33"/>
    <mergeCell ref="U33:W33"/>
    <mergeCell ref="X33:Z33"/>
    <mergeCell ref="AA33:AD33"/>
    <mergeCell ref="N36:O37"/>
    <mergeCell ref="P36:Q37"/>
    <mergeCell ref="R36:R37"/>
    <mergeCell ref="S36:T37"/>
    <mergeCell ref="U36:W37"/>
    <mergeCell ref="X36:Z37"/>
    <mergeCell ref="AA36:AD37"/>
    <mergeCell ref="B44:J45"/>
    <mergeCell ref="K44:S45"/>
    <mergeCell ref="T44:AD45"/>
    <mergeCell ref="B34:J37"/>
    <mergeCell ref="K34:M34"/>
    <mergeCell ref="N34:O34"/>
    <mergeCell ref="P34:Q34"/>
    <mergeCell ref="S34:T34"/>
    <mergeCell ref="U34:W34"/>
    <mergeCell ref="B46:J47"/>
    <mergeCell ref="K46:S47"/>
    <mergeCell ref="T46:AD47"/>
    <mergeCell ref="B38:J39"/>
    <mergeCell ref="K38:AD39"/>
    <mergeCell ref="D41:AD41"/>
    <mergeCell ref="B42:J42"/>
    <mergeCell ref="K42:AD42"/>
    <mergeCell ref="B43:J43"/>
    <mergeCell ref="K43:AD43"/>
    <mergeCell ref="D53:AD53"/>
    <mergeCell ref="B54:J54"/>
    <mergeCell ref="K54:AD54"/>
    <mergeCell ref="B55:J55"/>
    <mergeCell ref="K55:AD55"/>
    <mergeCell ref="B56:J56"/>
    <mergeCell ref="K56:AD56"/>
    <mergeCell ref="B48:J49"/>
    <mergeCell ref="K48:S49"/>
    <mergeCell ref="T48:AD49"/>
    <mergeCell ref="B50:J50"/>
    <mergeCell ref="K50:AD50"/>
    <mergeCell ref="B51:J51"/>
    <mergeCell ref="K51:AD51"/>
    <mergeCell ref="B66:AD66"/>
    <mergeCell ref="B67:AD67"/>
    <mergeCell ref="B68:AD68"/>
    <mergeCell ref="B69:AD69"/>
    <mergeCell ref="B70:AD70"/>
    <mergeCell ref="D72:AD72"/>
    <mergeCell ref="D61:AD61"/>
    <mergeCell ref="B62:J62"/>
    <mergeCell ref="K62:AD62"/>
    <mergeCell ref="B63:J63"/>
    <mergeCell ref="K63:AD63"/>
    <mergeCell ref="B64:J64"/>
    <mergeCell ref="K64:AD64"/>
    <mergeCell ref="B73:J77"/>
    <mergeCell ref="L74:AD74"/>
    <mergeCell ref="L75:AD75"/>
    <mergeCell ref="L76:AD76"/>
    <mergeCell ref="D80:AD80"/>
    <mergeCell ref="B81:F87"/>
    <mergeCell ref="H82:AB82"/>
    <mergeCell ref="H83:AB83"/>
    <mergeCell ref="H84:AB84"/>
    <mergeCell ref="H85:AB85"/>
    <mergeCell ref="C95:AC95"/>
    <mergeCell ref="C96:AC96"/>
    <mergeCell ref="C97:AC97"/>
    <mergeCell ref="C98:AC98"/>
    <mergeCell ref="C99:AC99"/>
    <mergeCell ref="C100:AC100"/>
    <mergeCell ref="H86:AB86"/>
    <mergeCell ref="C89:AB89"/>
    <mergeCell ref="C90:AB90"/>
    <mergeCell ref="D92:AD92"/>
    <mergeCell ref="C93:AC93"/>
    <mergeCell ref="C94:AC94"/>
  </mergeCells>
  <phoneticPr fontId="10"/>
  <pageMargins left="0.23622047244094491" right="0.23622047244094491" top="0.23622047244094491" bottom="0.23622047244094491" header="0.31496062992125984" footer="0.31496062992125984"/>
  <pageSetup paperSize="9" scale="93" orientation="portrait" r:id="rId1"/>
  <extLst>
    <ext xmlns:x14="http://schemas.microsoft.com/office/spreadsheetml/2009/9/main" uri="{78C0D931-6437-407d-A8EE-F0AAD7539E65}">
      <x14:conditionalFormattings>
        <x14:conditionalFormatting xmlns:xm="http://schemas.microsoft.com/office/excel/2006/main">
          <x14:cfRule type="expression" priority="1" id="{60D4A89E-F31D-40E7-A312-3EBA24A863EC}">
            <xm:f>SF_Data!$AA$2="-"</xm:f>
            <x14:dxf>
              <fill>
                <patternFill>
                  <bgColor theme="0"/>
                </patternFill>
              </fill>
              <border>
                <left/>
                <right/>
                <top/>
                <bottom/>
                <vertical/>
                <horizontal/>
              </border>
            </x14:dxf>
          </x14:cfRule>
          <xm:sqref>B54:AD56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A96DD38A1C58D46A5BD3F209FD424AE" ma:contentTypeVersion="4" ma:contentTypeDescription="新しいドキュメントを作成します。" ma:contentTypeScope="" ma:versionID="1ae3123fe6d68af43864a5d82e46cabc">
  <xsd:schema xmlns:xsd="http://www.w3.org/2001/XMLSchema" xmlns:xs="http://www.w3.org/2001/XMLSchema" xmlns:p="http://schemas.microsoft.com/office/2006/metadata/properties" xmlns:ns2="360c5be6-79fe-4817-bc23-e8c3bc37340c" xmlns:ns3="a690272e-e7a9-4407-abe8-736132f0ccbb" targetNamespace="http://schemas.microsoft.com/office/2006/metadata/properties" ma:root="true" ma:fieldsID="77912fcf641e5dbf6c61a2f0f3b4f776" ns2:_="" ns3:_="">
    <xsd:import namespace="360c5be6-79fe-4817-bc23-e8c3bc37340c"/>
    <xsd:import namespace="a690272e-e7a9-4407-abe8-736132f0ccb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0c5be6-79fe-4817-bc23-e8c3bc3734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690272e-e7a9-4407-abe8-736132f0ccbb"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148336-F503-4C5F-A7E2-4A0D425F68F7}">
  <ds:schemaRefs>
    <ds:schemaRef ds:uri="http://schemas.microsoft.com/DataMashup"/>
  </ds:schemaRefs>
</ds:datastoreItem>
</file>

<file path=customXml/itemProps2.xml><?xml version="1.0" encoding="utf-8"?>
<ds:datastoreItem xmlns:ds="http://schemas.openxmlformats.org/officeDocument/2006/customXml" ds:itemID="{4992FBCF-A621-4800-A670-0D8E5CCBDB37}">
  <ds:schemaRefs>
    <ds:schemaRef ds:uri="http://schemas.microsoft.com/sharepoint/v3/contenttype/forms"/>
  </ds:schemaRefs>
</ds:datastoreItem>
</file>

<file path=customXml/itemProps3.xml><?xml version="1.0" encoding="utf-8"?>
<ds:datastoreItem xmlns:ds="http://schemas.openxmlformats.org/officeDocument/2006/customXml" ds:itemID="{472C6FEA-4B91-4D05-8C75-2D1EE91C81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0c5be6-79fe-4817-bc23-e8c3bc37340c"/>
    <ds:schemaRef ds:uri="a690272e-e7a9-4407-abe8-736132f0cc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9839176-7FB6-4B2E-A2DB-B6204245A817}">
  <ds:schemaRefs>
    <ds:schemaRef ds:uri="360c5be6-79fe-4817-bc23-e8c3bc37340c"/>
    <ds:schemaRef ds:uri="http://schemas.openxmlformats.org/package/2006/metadata/core-properties"/>
    <ds:schemaRef ds:uri="http://purl.org/dc/elements/1.1/"/>
    <ds:schemaRef ds:uri="a690272e-e7a9-4407-abe8-736132f0ccbb"/>
    <ds:schemaRef ds:uri="http://schemas.microsoft.com/office/2006/documentManagement/types"/>
    <ds:schemaRef ds:uri="http://schemas.microsoft.com/office/2006/metadata/properties"/>
    <ds:schemaRef ds:uri="http://www.w3.org/XML/1998/namespace"/>
    <ds:schemaRef ds:uri="http://purl.org/dc/dcmitype/"/>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6</vt:i4>
      </vt:variant>
    </vt:vector>
  </HeadingPairs>
  <TitlesOfParts>
    <vt:vector size="14" baseType="lpstr">
      <vt:lpstr>SF_Data</vt:lpstr>
      <vt:lpstr>カナ</vt:lpstr>
      <vt:lpstr>マクロ</vt:lpstr>
      <vt:lpstr>MA</vt:lpstr>
      <vt:lpstr>DHN</vt:lpstr>
      <vt:lpstr>RA</vt:lpstr>
      <vt:lpstr>MAOEM</vt:lpstr>
      <vt:lpstr>RAOEM</vt:lpstr>
      <vt:lpstr>DHN!Print_Area</vt:lpstr>
      <vt:lpstr>MA!Print_Area</vt:lpstr>
      <vt:lpstr>MAOEM!Print_Area</vt:lpstr>
      <vt:lpstr>RA!Print_Area</vt:lpstr>
      <vt:lpstr>RAOEM!Print_Area</vt:lpstr>
      <vt:lpstr>SF_Data!Print_Area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Crystal Decisions</dc:creator>
  <cp:keywords/>
  <dc:description>Powered by Crystal</dc:description>
  <cp:lastModifiedBy>中村 仁美</cp:lastModifiedBy>
  <cp:revision/>
  <cp:lastPrinted>2023-06-30T06:15:24Z</cp:lastPrinted>
  <dcterms:created xsi:type="dcterms:W3CDTF">2021-12-23T12:02:59Z</dcterms:created>
  <dcterms:modified xsi:type="dcterms:W3CDTF">2023-07-03T01:05:41Z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usiness Objects Context Information">
    <vt:lpwstr>01C2D35AF44DC8546069FCCFAB82437E8AE85364339A3FD7B8457322ABA5F93C19AE1510F54DDC058B541E4AA986E19A4E0E3C085511CF837F59F5C22A1C081DEADD6FFA8A5A5D4BB6495E846168AEF0F441A3A1A5FC0E32548D4AADCF4BBF072EACF58CEDBA310C70132E4FD3E2FDE4E54292429BFD893644DC46909888F44</vt:lpwstr>
  </property>
  <property fmtid="{D5CDD505-2E9C-101B-9397-08002B2CF9AE}" pid="3" name="Business Objects Context Information1">
    <vt:lpwstr>C4949974772710816B3135DB34264D5D4F50D9C998EE00C07327A28898C1F9CA5530FBF4324D1AD94042F434463F2C71BBAB109613B4AAD2F27E47C8C2215A9EABD43EEA99EF3C1375B1116D9654D0A761248CA98224AE41B700151411CB75F9F47BA9B5CB7E252B08D16DC25F304D6A5644A8BFD64ABB1EF5BD10646EC97C7</vt:lpwstr>
  </property>
  <property fmtid="{D5CDD505-2E9C-101B-9397-08002B2CF9AE}" pid="4" name="Business Objects Context Information2">
    <vt:lpwstr>7446E8A7CFF9E74CAD06760F5A1BD132C949C723C294B0F484A5551EB934679CF6125EB41AB205A3D6EEE6EBBDED7913F90BCB195A6EE58C8F40376DD0DF1C7A1E32400165F976EF2FEB80A1F34BFAC1850DBC76B354AA6FEFDBBC0EBCACE6994732608B582A1BADB9006D652E9FA6EAFD0226B466F37C519FA1716C39F13FE</vt:lpwstr>
  </property>
  <property fmtid="{D5CDD505-2E9C-101B-9397-08002B2CF9AE}" pid="5" name="Business Objects Context Information3">
    <vt:lpwstr>55B19EB2D187BAC29863A67CEFAD8FCB13BC8109A211A9C6F03A8505CC11F1B3DBC0C09F1965F8EF08E4E66530C1E2E42E78C1F661E055D1659413B0418A06B6B8373C50161C64B5A0FC654AE8829962C01632456E2C4FAEBC891252B2DE2AABACFD9E53F088CF896D37EB135215D11E780BBF1E7664F4103F65AC035F83199</vt:lpwstr>
  </property>
  <property fmtid="{D5CDD505-2E9C-101B-9397-08002B2CF9AE}" pid="6" name="Business Objects Context Information4">
    <vt:lpwstr>1B2A9A8C0383C448A78D4B7350F2ACA2D02801720F0465E4001C031724EAD8E8452CDC98DD224118B78A226F7983E77396D2F68CA29A2C0F9BAE29DE0D6BB274CE99769621460894D44432D17E080EF57DD41DB032E8DF9DA02794A7E99660FEC49F6C86CB659FD67DABF13EA830320A3DD5299C1B40CBA8EA12644283B9DD9</vt:lpwstr>
  </property>
  <property fmtid="{D5CDD505-2E9C-101B-9397-08002B2CF9AE}" pid="7" name="Business Objects Context Information5">
    <vt:lpwstr>A0B44A456053326E0775961CF3DF6AA6106814723C651039F9D75C183E93DBFEBFE470B67E4C7D16C8B6F3A66BFA6E9BE440040C9ADE557BC735ADAB2F32867AC61ACC0B3307A52B3BA5BEF8FBAA3848EB7E49CAC0EB606BA22887A5DBE3BC58BCABAACCDDBDCD9D1AECCFC7964364E1538E92E421FDE20050F99864E2DCEFF</vt:lpwstr>
  </property>
  <property fmtid="{D5CDD505-2E9C-101B-9397-08002B2CF9AE}" pid="8" name="Business Objects Context Information6">
    <vt:lpwstr>14168FEBA97C4C0BE255D7237E82EADDBD61A8227F34A6D9271A440F534E74BA99683945438838669904EBFE5552177AA32CE97DD3B0742C8007512ABFB48BE67EEA5629F93D2658A96EAF19D513C6C87C26287E3A56269CB6FEE5A6C68201D069B99B7CDC9CCE4A1F680193CF647A8722FF3DE0</vt:lpwstr>
  </property>
  <property fmtid="{D5CDD505-2E9C-101B-9397-08002B2CF9AE}" pid="9" name="ContentTypeId">
    <vt:lpwstr>0x010100CA96DD38A1C58D46A5BD3F209FD424AE</vt:lpwstr>
  </property>
</Properties>
</file>